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 tabRatio="662" firstSheet="2" activeTab="7"/>
  </bookViews>
  <sheets>
    <sheet name="EmployeeData" sheetId="1" r:id="rId1"/>
    <sheet name="Analysis" sheetId="2" r:id="rId2"/>
    <sheet name="Department Analysis" sheetId="4" r:id="rId3"/>
    <sheet name="Overtime Analysis" sheetId="5" r:id="rId4"/>
    <sheet name="Satisfaction Analysis" sheetId="7" r:id="rId5"/>
    <sheet name="Workmode Analysis" sheetId="10" r:id="rId6"/>
    <sheet name="Insights" sheetId="6" r:id="rId7"/>
    <sheet name="Dashboard" sheetId="9" r:id="rId8"/>
  </sheets>
  <calcPr calcId="124519"/>
  <pivotCaches>
    <pivotCache cacheId="11" r:id="rId9"/>
  </pivotCaches>
</workbook>
</file>

<file path=xl/calcChain.xml><?xml version="1.0" encoding="utf-8"?>
<calcChain xmlns="http://schemas.openxmlformats.org/spreadsheetml/2006/main">
  <c r="B3" i="2"/>
  <c r="B5"/>
  <c r="B4"/>
  <c r="B2"/>
  <c r="B1"/>
</calcChain>
</file>

<file path=xl/sharedStrings.xml><?xml version="1.0" encoding="utf-8"?>
<sst xmlns="http://schemas.openxmlformats.org/spreadsheetml/2006/main" count="4096" uniqueCount="582">
  <si>
    <t>EmployeeID</t>
  </si>
  <si>
    <t>Age</t>
  </si>
  <si>
    <t>Gender</t>
  </si>
  <si>
    <t>Department</t>
  </si>
  <si>
    <t>Education</t>
  </si>
  <si>
    <t>ExperienceYears</t>
  </si>
  <si>
    <t>Salary</t>
  </si>
  <si>
    <t>WorkMode</t>
  </si>
  <si>
    <t>SatisfactionScore</t>
  </si>
  <si>
    <t>Overtime</t>
  </si>
  <si>
    <t>TrainingHours</t>
  </si>
  <si>
    <t>PerformanceRating</t>
  </si>
  <si>
    <t>PromotionLast3Years</t>
  </si>
  <si>
    <t>Attrition</t>
  </si>
  <si>
    <t>EMP001</t>
  </si>
  <si>
    <t>Female</t>
  </si>
  <si>
    <t>Sales</t>
  </si>
  <si>
    <t>Bachelor</t>
  </si>
  <si>
    <t>Remote</t>
  </si>
  <si>
    <t>Yes</t>
  </si>
  <si>
    <t>No</t>
  </si>
  <si>
    <t>EMP002</t>
  </si>
  <si>
    <t>Male</t>
  </si>
  <si>
    <t>Diploma</t>
  </si>
  <si>
    <t>EMP003</t>
  </si>
  <si>
    <t>Finance</t>
  </si>
  <si>
    <t>EMP004</t>
  </si>
  <si>
    <t>Operations</t>
  </si>
  <si>
    <t>Hybrid</t>
  </si>
  <si>
    <t>EMP005</t>
  </si>
  <si>
    <t>HR</t>
  </si>
  <si>
    <t>Master</t>
  </si>
  <si>
    <t>EMP006</t>
  </si>
  <si>
    <t>MBA</t>
  </si>
  <si>
    <t>Office</t>
  </si>
  <si>
    <t>EMP007</t>
  </si>
  <si>
    <t>IT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</si>
  <si>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</si>
  <si>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</si>
  <si>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</si>
  <si>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</si>
  <si>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</si>
  <si>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</si>
  <si>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</si>
  <si>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</si>
  <si>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</si>
  <si>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</si>
  <si>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</si>
  <si>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</si>
  <si>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</si>
  <si>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</si>
  <si>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</si>
  <si>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</si>
  <si>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</si>
  <si>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</si>
  <si>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</si>
  <si>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</si>
  <si>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</si>
  <si>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</si>
  <si>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</si>
  <si>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</si>
  <si>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</si>
  <si>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</si>
  <si>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</si>
  <si>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</si>
  <si>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</si>
  <si>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</si>
  <si>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</si>
  <si>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</si>
  <si>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</si>
  <si>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</si>
  <si>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</si>
  <si>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</si>
  <si>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</si>
  <si>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</si>
  <si>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</si>
  <si>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</si>
  <si>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</si>
  <si>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</si>
  <si>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</si>
  <si>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</si>
  <si>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</si>
  <si>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</si>
  <si>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</si>
  <si>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</si>
  <si>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</si>
  <si>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</si>
  <si>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</si>
  <si>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</si>
  <si>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</si>
  <si>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</si>
  <si>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</si>
  <si>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</si>
  <si>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</si>
  <si>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</si>
  <si>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</si>
  <si>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</si>
  <si>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</si>
  <si>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</si>
  <si>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</si>
  <si>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</si>
  <si>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</si>
  <si>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</si>
  <si>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</si>
  <si>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</si>
  <si>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</si>
  <si>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</si>
  <si>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</si>
  <si>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</si>
  <si>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</si>
  <si>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</si>
  <si>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</si>
  <si>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</si>
  <si>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</si>
  <si>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</si>
  <si>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</si>
  <si>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</si>
  <si>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</si>
  <si>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</si>
  <si>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</si>
  <si>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</si>
  <si>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</si>
  <si>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</si>
  <si>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</si>
  <si>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</si>
  <si>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</si>
  <si>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</si>
  <si>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</si>
  <si>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</si>
  <si>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</si>
  <si>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</si>
  <si>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</si>
  <si>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</si>
  <si>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</si>
  <si>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</si>
  <si>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</si>
  <si>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</si>
  <si>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</si>
  <si>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</si>
  <si>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</si>
  <si>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</si>
  <si>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</si>
  <si>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</si>
  <si>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</si>
  <si>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</si>
  <si>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</si>
  <si>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</si>
  <si>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</si>
  <si>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</si>
  <si>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</si>
  <si>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</si>
  <si>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</si>
  <si>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</si>
  <si>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</si>
  <si>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</si>
  <si>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</si>
  <si>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</si>
  <si>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</si>
  <si>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</si>
  <si>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</si>
  <si>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</si>
  <si>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</si>
  <si>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</si>
  <si>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</si>
  <si>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</si>
  <si>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</si>
  <si>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</si>
  <si>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</si>
  <si>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</si>
  <si>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</si>
  <si>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</si>
  <si>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</si>
  <si>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</si>
  <si>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</si>
  <si>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</si>
  <si>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</si>
  <si>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</si>
  <si>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</si>
  <si>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</si>
  <si>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</si>
  <si>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</si>
  <si>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</si>
  <si>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</si>
  <si>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</si>
  <si>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</si>
  <si>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</si>
  <si>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</si>
  <si>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</si>
  <si>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</si>
  <si>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</si>
  <si>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</si>
  <si>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</si>
  <si>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</si>
  <si>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</si>
  <si>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</si>
  <si>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</si>
  <si>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</si>
  <si>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</si>
  <si>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</si>
  <si>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</si>
  <si>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</si>
  <si>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</si>
  <si>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</si>
  <si>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</si>
  <si>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</si>
  <si>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</si>
  <si>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</si>
  <si>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</si>
  <si>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</si>
  <si>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</si>
  <si>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</si>
  <si>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</si>
  <si>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</si>
  <si>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</si>
  <si>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</si>
  <si>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</si>
  <si>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</si>
  <si>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</si>
  <si>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</si>
  <si>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</si>
  <si>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</si>
  <si>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</si>
  <si>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</si>
  <si>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</si>
  <si>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</si>
  <si>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</si>
  <si>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</si>
  <si>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</si>
  <si>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</si>
  <si>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</si>
  <si>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</si>
  <si>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</si>
  <si>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</si>
  <si>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</si>
  <si>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</si>
  <si>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</si>
  <si>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</si>
  <si>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</si>
  <si>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</si>
  <si>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</si>
  <si>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</si>
  <si>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</si>
  <si>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</si>
  <si>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</si>
  <si>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</si>
  <si>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</si>
  <si>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</si>
  <si>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</si>
  <si>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</si>
  <si>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</si>
  <si>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</si>
  <si>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</si>
  <si>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</si>
  <si>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</si>
  <si>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</si>
  <si>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</si>
  <si>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</si>
  <si>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</si>
  <si>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</si>
  <si>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</si>
  <si>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</si>
  <si>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</si>
  <si>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</si>
  <si>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</si>
  <si>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</si>
  <si>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</si>
  <si>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</si>
  <si>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</si>
  <si>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</si>
  <si>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</si>
  <si>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</si>
  <si>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</si>
  <si>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</si>
  <si>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</si>
  <si>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</si>
  <si>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</si>
  <si>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</si>
  <si>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</si>
  <si>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</si>
  <si>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</si>
  <si>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</si>
  <si>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</si>
  <si>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</si>
  <si>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</si>
  <si>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</si>
  <si>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</si>
  <si>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</si>
  <si>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</si>
  <si>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</si>
  <si>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</si>
  <si>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</si>
  <si>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</si>
  <si>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</si>
  <si>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</si>
  <si>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</si>
  <si>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</si>
  <si>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</si>
  <si>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</si>
  <si>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</si>
  <si>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</si>
  <si>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</si>
  <si>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</si>
  <si>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</si>
  <si>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</si>
  <si>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</si>
  <si>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</si>
  <si>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</si>
  <si>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</si>
  <si>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</si>
  <si>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</si>
  <si>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</si>
  <si>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</si>
  <si>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</si>
  <si>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</si>
  <si>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</si>
  <si>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</si>
  <si>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</si>
  <si>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</si>
  <si>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</si>
  <si>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</si>
  <si>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</si>
  <si>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</si>
  <si>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</si>
  <si>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</si>
  <si>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</si>
  <si>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</si>
  <si>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</si>
  <si>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</si>
  <si>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</si>
  <si>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</si>
  <si>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</si>
  <si>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</si>
  <si>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</si>
  <si>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</si>
  <si>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</si>
  <si>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</si>
  <si>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</si>
  <si>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</si>
  <si>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</si>
  <si>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</si>
  <si>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</si>
  <si>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</si>
  <si>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</si>
  <si>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</si>
  <si>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</si>
  <si>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</si>
  <si>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</si>
  <si>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</si>
  <si>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</si>
  <si>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</si>
  <si>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</si>
  <si>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</si>
  <si>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</si>
  <si>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</si>
  <si>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</si>
  <si>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</si>
  <si>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</si>
  <si>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</si>
  <si>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</si>
  <si>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</si>
  <si>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</si>
  <si>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</si>
  <si>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</si>
  <si>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</si>
  <si>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</si>
  <si>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</si>
  <si>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</si>
  <si>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</si>
  <si>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</si>
  <si>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</si>
  <si>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</si>
  <si>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</si>
  <si>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</si>
  <si>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</si>
  <si>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</si>
  <si>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</si>
  <si>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</si>
  <si>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</si>
  <si>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</si>
  <si>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</si>
  <si>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</si>
  <si>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</si>
  <si>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</si>
  <si>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</si>
  <si>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</si>
  <si>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</si>
  <si>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</si>
  <si>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</si>
  <si>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</si>
  <si>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</si>
  <si>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</si>
  <si>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</si>
  <si>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</si>
  <si>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</si>
  <si>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</si>
  <si>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</si>
  <si>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</si>
  <si>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</si>
  <si>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</si>
  <si>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</si>
  <si>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</si>
  <si>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</si>
  <si>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</si>
  <si>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</si>
  <si>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</si>
  <si>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</si>
  <si>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</si>
  <si>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</si>
  <si>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</si>
  <si>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</si>
  <si>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</si>
  <si>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</si>
  <si>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</si>
  <si>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</si>
  <si>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</si>
  <si>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</si>
  <si>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</si>
  <si>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</si>
  <si>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</si>
  <si>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</si>
  <si>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</si>
  <si>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</si>
  <si>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</si>
  <si>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</si>
  <si>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</si>
  <si>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</si>
  <si>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</si>
  <si>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</si>
  <si>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</si>
  <si>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</si>
  <si>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</si>
  <si>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</si>
  <si>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</si>
  <si>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</si>
  <si>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</si>
  <si>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</si>
  <si>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</si>
  <si>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</si>
  <si>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</si>
  <si>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</si>
  <si>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</si>
  <si>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</si>
  <si>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</si>
  <si>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</si>
  <si>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</si>
  <si>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</si>
  <si>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</si>
  <si>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</si>
  <si>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</si>
  <si>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</si>
  <si>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</si>
  <si>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</si>
  <si>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</si>
  <si>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</si>
  <si>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</si>
  <si>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</si>
  <si>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</si>
  <si>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</si>
  <si>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</si>
  <si>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</si>
  <si>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</si>
  <si>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</si>
  <si>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</si>
  <si>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</si>
  <si>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</si>
  <si>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</si>
  <si>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</si>
  <si>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</si>
  <si>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</si>
  <si>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</si>
  <si>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</si>
  <si>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</si>
  <si>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</si>
  <si>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</si>
  <si>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</si>
  <si>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</si>
  <si>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</si>
  <si>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</si>
  <si>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</si>
  <si>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</si>
  <si>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</si>
  <si>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</si>
  <si>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</si>
  <si>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</si>
  <si>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</si>
  <si>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</si>
  <si>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</si>
  <si>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</si>
  <si>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</si>
  <si>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</si>
  <si>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</si>
  <si>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</si>
  <si>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</si>
  <si>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</si>
  <si>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</si>
  <si>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</si>
  <si>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</si>
  <si>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</si>
  <si>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</si>
  <si>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</si>
  <si>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</si>
  <si>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</si>
  <si>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</si>
  <si>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</si>
  <si>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</si>
  <si>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</si>
  <si>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</si>
  <si>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</si>
  <si>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</si>
  <si>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</si>
  <si>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</si>
  <si>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</si>
  <si>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</si>
  <si>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</si>
  <si>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</si>
  <si>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</si>
  <si>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</si>
  <si>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</si>
  <si>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</si>
  <si>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</si>
  <si>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</si>
  <si>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</si>
  <si>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</si>
  <si>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</si>
  <si>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</si>
  <si>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</si>
  <si>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</si>
  <si>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</si>
  <si>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</si>
  <si>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</si>
  <si>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Total Employees</t>
  </si>
  <si>
    <t>Avg Salary</t>
  </si>
  <si>
    <t>Avg Satisfaction</t>
  </si>
  <si>
    <t>Employees Left</t>
  </si>
  <si>
    <t xml:space="preserve">Attrition Rate </t>
  </si>
  <si>
    <t>Row Labels</t>
  </si>
  <si>
    <t>Grand Total</t>
  </si>
  <si>
    <t>Count of EmployeeID</t>
  </si>
  <si>
    <t>Total Employees
500</t>
  </si>
  <si>
    <t>Employees Left
91</t>
  </si>
  <si>
    <t>Attrition Rate
18.2%</t>
  </si>
  <si>
    <t>Average Satisfaction
5.62</t>
  </si>
  <si>
    <t>KEY FINDINGS</t>
  </si>
  <si>
    <t>3. Employees with satisfaction score 1-4 represented 85% of attrition cases.</t>
  </si>
  <si>
    <t>4. Office employees showed highest turnover among work modes.</t>
  </si>
  <si>
    <t>RECOMMENDATIONS</t>
  </si>
  <si>
    <t>1. Reduce excessive overtime.</t>
  </si>
  <si>
    <t>2. Improve employee engagement.</t>
  </si>
  <si>
    <t>3. Conduct retention reviews in Finance.</t>
  </si>
  <si>
    <t>4. Consider flexible work arrangements.</t>
  </si>
  <si>
    <t>Department-wise Attrition</t>
  </si>
  <si>
    <t>Overtime vs Attrition</t>
  </si>
  <si>
    <t>Satisfaction Score vs Attrition</t>
  </si>
  <si>
    <t>Work Mode vs Attrition</t>
  </si>
  <si>
    <t>WORKFORCE ATTRITION &amp; EMPLOYEE INSIGHTS DASHBOARD</t>
  </si>
  <si>
    <t>1. Finance department recorded highest employee attrition (22).</t>
  </si>
  <si>
    <t>2. Employees performing overtime accounted for approximately 88% of total attrition cases.</t>
  </si>
  <si>
    <t>Workforce Attrition &amp; Employee Insights Dashboard</t>
  </si>
  <si>
    <t>Objective</t>
  </si>
  <si>
    <t>To analyze employee attrition patterns and identify factors contributing to workforce turnover using employee demographic, work environment, and satisfaction data.</t>
  </si>
  <si>
    <t>Key Findings</t>
  </si>
  <si>
    <t>1. Department-wise Attrition</t>
  </si>
  <si>
    <t>Business Impact:</t>
  </si>
  <si>
    <t>This indicates potential retention challenges within the Finance department and may require further investigation into workload, job satisfaction, or career growth opportunities.</t>
  </si>
  <si>
    <t>2. Overtime and Attrition</t>
  </si>
  <si>
    <t>Excessive overtime appears to be a major contributor to employee turnover and employee burnout.</t>
  </si>
  <si>
    <t>3. Employee Satisfaction and Attrition</t>
  </si>
  <si>
    <t>Improving employee engagement and workplace satisfaction may significantly reduce turnover.</t>
  </si>
  <si>
    <t>4. Work Mode Analysis</t>
  </si>
  <si>
    <t>Flexible work arrangements may positively influence employee retention and work-life balance.</t>
  </si>
  <si>
    <t>Recommendations</t>
  </si>
  <si>
    <t>1. Monitor and reduce excessive overtime across departments.</t>
  </si>
  <si>
    <t>2. Conduct regular employee satisfaction surveys.</t>
  </si>
  <si>
    <t>3. Investigate retention challenges within the Finance department.</t>
  </si>
  <si>
    <t>4. Improve employee engagement and recognition programs.</t>
  </si>
  <si>
    <t>5. Explore hybrid and flexible work policies to improve retention.</t>
  </si>
  <si>
    <t>Conclusion</t>
  </si>
  <si>
    <t>The analysis indicates that overtime, low employee satisfaction, and department-specific factors are strongly associated with employee attrition. Addressing these areas may help improve employee retention and overall organizational performance.</t>
  </si>
  <si>
    <r>
      <t xml:space="preserve">The Finance department recorded the highest employee attrition with </t>
    </r>
    <r>
      <rPr>
        <b/>
        <sz val="14"/>
        <color theme="1"/>
        <rFont val="Calibri"/>
        <family val="2"/>
        <scheme val="minor"/>
      </rPr>
      <t>22 employees leaving</t>
    </r>
    <r>
      <rPr>
        <sz val="14"/>
        <color theme="1"/>
        <rFont val="Calibri"/>
        <family val="2"/>
        <scheme val="minor"/>
      </rPr>
      <t xml:space="preserve">, followed by HR and Sales with </t>
    </r>
    <r>
      <rPr>
        <b/>
        <sz val="14"/>
        <color theme="1"/>
        <rFont val="Calibri"/>
        <family val="2"/>
        <scheme val="minor"/>
      </rPr>
      <t>18 employees each</t>
    </r>
    <r>
      <rPr>
        <sz val="14"/>
        <color theme="1"/>
        <rFont val="Calibri"/>
        <family val="2"/>
        <scheme val="minor"/>
      </rPr>
      <t>.</t>
    </r>
  </si>
  <si>
    <r>
      <t xml:space="preserve">Out of 91 employees who left the organization, </t>
    </r>
    <r>
      <rPr>
        <b/>
        <sz val="14"/>
        <color theme="1"/>
        <rFont val="Calibri"/>
        <family val="2"/>
        <scheme val="minor"/>
      </rPr>
      <t>80 employees were working overtime</t>
    </r>
    <r>
      <rPr>
        <sz val="14"/>
        <color theme="1"/>
        <rFont val="Calibri"/>
        <family val="2"/>
        <scheme val="minor"/>
      </rPr>
      <t xml:space="preserve">, representing approximately </t>
    </r>
    <r>
      <rPr>
        <b/>
        <sz val="14"/>
        <color theme="1"/>
        <rFont val="Calibri"/>
        <family val="2"/>
        <scheme val="minor"/>
      </rPr>
      <t>88% of total attrition cases</t>
    </r>
    <r>
      <rPr>
        <sz val="14"/>
        <color theme="1"/>
        <rFont val="Calibri"/>
        <family val="2"/>
        <scheme val="minor"/>
      </rPr>
      <t>.</t>
    </r>
  </si>
  <si>
    <r>
      <t xml:space="preserve">Approximately </t>
    </r>
    <r>
      <rPr>
        <b/>
        <sz val="14"/>
        <color theme="1"/>
        <rFont val="Calibri"/>
        <family val="2"/>
        <scheme val="minor"/>
      </rPr>
      <t>85% of employees who left had satisfaction scores between 1 and 4</t>
    </r>
    <r>
      <rPr>
        <sz val="14"/>
        <color theme="1"/>
        <rFont val="Calibri"/>
        <family val="2"/>
        <scheme val="minor"/>
      </rPr>
      <t>, indicating a strong relationship between low satisfaction and employee attrition.</t>
    </r>
  </si>
  <si>
    <r>
      <t>Office-based employees recorded the highest attrition (</t>
    </r>
    <r>
      <rPr>
        <b/>
        <sz val="14"/>
        <color theme="1"/>
        <rFont val="Calibri"/>
        <family val="2"/>
        <scheme val="minor"/>
      </rPr>
      <t>38 employees</t>
    </r>
    <r>
      <rPr>
        <sz val="14"/>
        <color theme="1"/>
        <rFont val="Calibri"/>
        <family val="2"/>
        <scheme val="minor"/>
      </rPr>
      <t>) compared to Hybrid (</t>
    </r>
    <r>
      <rPr>
        <b/>
        <sz val="14"/>
        <color theme="1"/>
        <rFont val="Calibri"/>
        <family val="2"/>
        <scheme val="minor"/>
      </rPr>
      <t>28 employees</t>
    </r>
    <r>
      <rPr>
        <sz val="14"/>
        <color theme="1"/>
        <rFont val="Calibri"/>
        <family val="2"/>
        <scheme val="minor"/>
      </rPr>
      <t>) and Remote (</t>
    </r>
    <r>
      <rPr>
        <b/>
        <sz val="14"/>
        <color theme="1"/>
        <rFont val="Calibri"/>
        <family val="2"/>
        <scheme val="minor"/>
      </rPr>
      <t>25 employees</t>
    </r>
    <r>
      <rPr>
        <sz val="14"/>
        <color theme="1"/>
        <rFont val="Calibri"/>
        <family val="2"/>
        <scheme val="minor"/>
      </rPr>
      <t>) employees.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</si>
</sst>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/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4">
    <dxf>
      <font>
        <u val="none"/>
      </font>
    </dxf>
    <dxf>
      <font>
        <u/>
      </font>
    </dxf>
    <dxf>
      <font>
        <u val="none"/>
      </font>
    </dxf>
    <dxf>
      <font>
        <u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v>Total</c:v>
          </c:tx>
          <c:cat>
            <c:strLit>
              <c:ptCount val="5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Operations</c:v>
              </c:pt>
              <c:pt idx="4">
                <c:v>Sales</c:v>
              </c:pt>
            </c:strLit>
          </c:cat>
          <c:val>
            <c:numLit>
              <c:formatCode>General</c:formatCode>
              <c:ptCount val="5"/>
              <c:pt idx="0">
                <c:v>22</c:v>
              </c:pt>
              <c:pt idx="1">
                <c:v>18</c:v>
              </c:pt>
              <c:pt idx="2">
                <c:v>17</c:v>
              </c:pt>
              <c:pt idx="3">
                <c:v>16</c:v>
              </c:pt>
              <c:pt idx="4">
                <c:v>18</c:v>
              </c:pt>
            </c:numLit>
          </c:val>
        </c:ser>
        <c:axId val="82479744"/>
        <c:axId val="103371904"/>
      </c:barChart>
      <c:catAx>
        <c:axId val="82479744"/>
        <c:scaling>
          <c:orientation val="minMax"/>
        </c:scaling>
        <c:axPos val="b"/>
        <c:tickLblPos val="nextTo"/>
        <c:crossAx val="103371904"/>
        <c:crosses val="autoZero"/>
        <c:auto val="1"/>
        <c:lblAlgn val="ctr"/>
        <c:lblOffset val="100"/>
      </c:catAx>
      <c:valAx>
        <c:axId val="103371904"/>
        <c:scaling>
          <c:orientation val="minMax"/>
        </c:scaling>
        <c:axPos val="l"/>
        <c:majorGridlines/>
        <c:numFmt formatCode="General" sourceLinked="1"/>
        <c:tickLblPos val="nextTo"/>
        <c:crossAx val="824797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v>Total</c:v>
          </c:tx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11</c:v>
              </c:pt>
              <c:pt idx="1">
                <c:v>80</c:v>
              </c:pt>
            </c:numLit>
          </c:val>
        </c:ser>
        <c:axId val="98169600"/>
        <c:axId val="80064512"/>
      </c:barChart>
      <c:catAx>
        <c:axId val="98169600"/>
        <c:scaling>
          <c:orientation val="minMax"/>
        </c:scaling>
        <c:axPos val="b"/>
        <c:tickLblPos val="nextTo"/>
        <c:crossAx val="80064512"/>
        <c:crosses val="autoZero"/>
        <c:auto val="1"/>
        <c:lblAlgn val="ctr"/>
        <c:lblOffset val="100"/>
      </c:catAx>
      <c:valAx>
        <c:axId val="80064512"/>
        <c:scaling>
          <c:orientation val="minMax"/>
        </c:scaling>
        <c:axPos val="l"/>
        <c:majorGridlines/>
        <c:numFmt formatCode="General" sourceLinked="1"/>
        <c:tickLblPos val="nextTo"/>
        <c:crossAx val="981696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[Employee_Attrition_Project_500.xlsx]Satisfaction Analysis!PivotTable3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'Satisfaction Analysis'!$B$3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'Satisfaction Analysis'!$A$4:$A$13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'Satisfaction Analysis'!$B$4:$B$13</c:f>
              <c:numCache>
                <c:formatCode>General</c:formatCode>
                <c:ptCount val="9"/>
                <c:pt idx="0">
                  <c:v>21</c:v>
                </c:pt>
                <c:pt idx="1">
                  <c:v>22</c:v>
                </c:pt>
                <c:pt idx="2">
                  <c:v>17</c:v>
                </c:pt>
                <c:pt idx="3">
                  <c:v>17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</c:ser>
        <c:axId val="97575296"/>
        <c:axId val="97576832"/>
      </c:barChart>
      <c:catAx>
        <c:axId val="97575296"/>
        <c:scaling>
          <c:orientation val="minMax"/>
        </c:scaling>
        <c:axPos val="b"/>
        <c:tickLblPos val="nextTo"/>
        <c:crossAx val="97576832"/>
        <c:crosses val="autoZero"/>
        <c:auto val="1"/>
        <c:lblAlgn val="ctr"/>
        <c:lblOffset val="100"/>
      </c:catAx>
      <c:valAx>
        <c:axId val="97576832"/>
        <c:scaling>
          <c:orientation val="minMax"/>
        </c:scaling>
        <c:axPos val="l"/>
        <c:majorGridlines/>
        <c:numFmt formatCode="General" sourceLinked="1"/>
        <c:tickLblPos val="nextTo"/>
        <c:crossAx val="975752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[Employee_Attrition_Project_500.xlsx]Workmode Analysis!PivotTable5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'Workmode Analysis'!$B$3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'Workmode Analysis'!$A$4:$A$7</c:f>
              <c:strCache>
                <c:ptCount val="3"/>
                <c:pt idx="0">
                  <c:v>Hybrid</c:v>
                </c:pt>
                <c:pt idx="1">
                  <c:v>Office</c:v>
                </c:pt>
                <c:pt idx="2">
                  <c:v>Remote</c:v>
                </c:pt>
              </c:strCache>
            </c:strRef>
          </c:cat>
          <c:val>
            <c:numRef>
              <c:f>'Workmode Analysis'!$B$4:$B$7</c:f>
              <c:numCache>
                <c:formatCode>General</c:formatCode>
                <c:ptCount val="3"/>
                <c:pt idx="0">
                  <c:v>28</c:v>
                </c:pt>
                <c:pt idx="1">
                  <c:v>38</c:v>
                </c:pt>
                <c:pt idx="2">
                  <c:v>25</c:v>
                </c:pt>
              </c:numCache>
            </c:numRef>
          </c:val>
        </c:ser>
        <c:axId val="95246592"/>
        <c:axId val="97461376"/>
      </c:barChart>
      <c:catAx>
        <c:axId val="95246592"/>
        <c:scaling>
          <c:orientation val="minMax"/>
        </c:scaling>
        <c:axPos val="b"/>
        <c:tickLblPos val="nextTo"/>
        <c:crossAx val="97461376"/>
        <c:crosses val="autoZero"/>
        <c:auto val="1"/>
        <c:lblAlgn val="ctr"/>
        <c:lblOffset val="100"/>
      </c:catAx>
      <c:valAx>
        <c:axId val="97461376"/>
        <c:scaling>
          <c:orientation val="minMax"/>
        </c:scaling>
        <c:axPos val="l"/>
        <c:majorGridlines/>
        <c:numFmt formatCode="General" sourceLinked="1"/>
        <c:tickLblPos val="nextTo"/>
        <c:crossAx val="952465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561050962379702"/>
          <c:y val="0.13937651965283482"/>
          <c:w val="0.78858640589455975"/>
          <c:h val="0.61164871262257858"/>
        </c:manualLayout>
      </c:layout>
      <c:barChart>
        <c:barDir val="col"/>
        <c:grouping val="clustered"/>
        <c:ser>
          <c:idx val="0"/>
          <c:order val="0"/>
          <c:tx>
            <c:v>Total</c:v>
          </c:tx>
          <c:cat>
            <c:strLit>
              <c:ptCount val="5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Operations</c:v>
              </c:pt>
              <c:pt idx="4">
                <c:v>Sales</c:v>
              </c:pt>
            </c:strLit>
          </c:cat>
          <c:val>
            <c:numLit>
              <c:formatCode>General</c:formatCode>
              <c:ptCount val="5"/>
              <c:pt idx="0">
                <c:v>22</c:v>
              </c:pt>
              <c:pt idx="1">
                <c:v>18</c:v>
              </c:pt>
              <c:pt idx="2">
                <c:v>17</c:v>
              </c:pt>
              <c:pt idx="3">
                <c:v>16</c:v>
              </c:pt>
              <c:pt idx="4">
                <c:v>18</c:v>
              </c:pt>
            </c:numLit>
          </c:val>
        </c:ser>
        <c:axId val="187721984"/>
        <c:axId val="187736064"/>
      </c:barChart>
      <c:catAx>
        <c:axId val="187721984"/>
        <c:scaling>
          <c:orientation val="minMax"/>
        </c:scaling>
        <c:axPos val="b"/>
        <c:tickLblPos val="nextTo"/>
        <c:crossAx val="187736064"/>
        <c:crosses val="autoZero"/>
        <c:auto val="1"/>
        <c:lblAlgn val="ctr"/>
        <c:lblOffset val="100"/>
      </c:catAx>
      <c:valAx>
        <c:axId val="187736064"/>
        <c:scaling>
          <c:orientation val="minMax"/>
        </c:scaling>
        <c:axPos val="l"/>
        <c:majorGridlines/>
        <c:numFmt formatCode="General" sourceLinked="1"/>
        <c:tickLblPos val="nextTo"/>
        <c:crossAx val="1877219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953248194689118"/>
          <c:y val="0.13810560913928313"/>
          <c:w val="0.82317616217227318"/>
          <c:h val="0.74056595574559803"/>
        </c:manualLayout>
      </c:layout>
      <c:barChart>
        <c:barDir val="col"/>
        <c:grouping val="clustered"/>
        <c:ser>
          <c:idx val="0"/>
          <c:order val="0"/>
          <c:tx>
            <c:v>Total</c:v>
          </c:tx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11</c:v>
              </c:pt>
              <c:pt idx="1">
                <c:v>80</c:v>
              </c:pt>
            </c:numLit>
          </c:val>
        </c:ser>
        <c:axId val="187711488"/>
        <c:axId val="187873536"/>
      </c:barChart>
      <c:catAx>
        <c:axId val="187711488"/>
        <c:scaling>
          <c:orientation val="minMax"/>
        </c:scaling>
        <c:axPos val="b"/>
        <c:tickLblPos val="nextTo"/>
        <c:crossAx val="187873536"/>
        <c:crosses val="autoZero"/>
        <c:auto val="1"/>
        <c:lblAlgn val="ctr"/>
        <c:lblOffset val="100"/>
      </c:catAx>
      <c:valAx>
        <c:axId val="187873536"/>
        <c:scaling>
          <c:orientation val="minMax"/>
        </c:scaling>
        <c:axPos val="l"/>
        <c:majorGridlines/>
        <c:numFmt formatCode="General" sourceLinked="1"/>
        <c:tickLblPos val="nextTo"/>
        <c:crossAx val="1877114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[Employee_Attrition_Project_500.xlsx]Satisfaction Analysis!PivotTable3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176507215877295"/>
          <c:y val="0.12923359580052493"/>
          <c:w val="0.88585278191577399"/>
          <c:h val="0.73085144356955367"/>
        </c:manualLayout>
      </c:layout>
      <c:barChart>
        <c:barDir val="col"/>
        <c:grouping val="clustered"/>
        <c:ser>
          <c:idx val="0"/>
          <c:order val="0"/>
          <c:tx>
            <c:strRef>
              <c:f>'Satisfaction Analysis'!$B$3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'Satisfaction Analysis'!$A$4:$A$13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'Satisfaction Analysis'!$B$4:$B$13</c:f>
              <c:numCache>
                <c:formatCode>General</c:formatCode>
                <c:ptCount val="9"/>
                <c:pt idx="0">
                  <c:v>21</c:v>
                </c:pt>
                <c:pt idx="1">
                  <c:v>22</c:v>
                </c:pt>
                <c:pt idx="2">
                  <c:v>17</c:v>
                </c:pt>
                <c:pt idx="3">
                  <c:v>17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</c:ser>
        <c:axId val="187053952"/>
        <c:axId val="187055488"/>
      </c:barChart>
      <c:catAx>
        <c:axId val="187053952"/>
        <c:scaling>
          <c:orientation val="minMax"/>
        </c:scaling>
        <c:axPos val="b"/>
        <c:tickLblPos val="nextTo"/>
        <c:crossAx val="187055488"/>
        <c:crosses val="autoZero"/>
        <c:auto val="1"/>
        <c:lblAlgn val="ctr"/>
        <c:lblOffset val="100"/>
      </c:catAx>
      <c:valAx>
        <c:axId val="187055488"/>
        <c:scaling>
          <c:orientation val="minMax"/>
        </c:scaling>
        <c:axPos val="l"/>
        <c:majorGridlines/>
        <c:numFmt formatCode="General" sourceLinked="1"/>
        <c:tickLblPos val="nextTo"/>
        <c:crossAx val="1870539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[Employee_Attrition_Project_500.xlsx]Workmode Analysis!PivotTable5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773866035282492"/>
          <c:y val="0.13117689601473162"/>
          <c:w val="0.78715351035742742"/>
          <c:h val="0.72229295018982886"/>
        </c:manualLayout>
      </c:layout>
      <c:barChart>
        <c:barDir val="col"/>
        <c:grouping val="clustered"/>
        <c:ser>
          <c:idx val="0"/>
          <c:order val="0"/>
          <c:tx>
            <c:strRef>
              <c:f>'Workmode Analysis'!$B$3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'Workmode Analysis'!$A$4:$A$7</c:f>
              <c:strCache>
                <c:ptCount val="3"/>
                <c:pt idx="0">
                  <c:v>Hybrid</c:v>
                </c:pt>
                <c:pt idx="1">
                  <c:v>Office</c:v>
                </c:pt>
                <c:pt idx="2">
                  <c:v>Remote</c:v>
                </c:pt>
              </c:strCache>
            </c:strRef>
          </c:cat>
          <c:val>
            <c:numRef>
              <c:f>'Workmode Analysis'!$B$4:$B$7</c:f>
              <c:numCache>
                <c:formatCode>General</c:formatCode>
                <c:ptCount val="3"/>
                <c:pt idx="0">
                  <c:v>28</c:v>
                </c:pt>
                <c:pt idx="1">
                  <c:v>38</c:v>
                </c:pt>
                <c:pt idx="2">
                  <c:v>25</c:v>
                </c:pt>
              </c:numCache>
            </c:numRef>
          </c:val>
        </c:ser>
        <c:axId val="160993664"/>
        <c:axId val="186173312"/>
      </c:barChart>
      <c:catAx>
        <c:axId val="160993664"/>
        <c:scaling>
          <c:orientation val="minMax"/>
        </c:scaling>
        <c:axPos val="b"/>
        <c:tickLblPos val="nextTo"/>
        <c:crossAx val="186173312"/>
        <c:crosses val="autoZero"/>
        <c:auto val="1"/>
        <c:lblAlgn val="ctr"/>
        <c:lblOffset val="100"/>
      </c:catAx>
      <c:valAx>
        <c:axId val="186173312"/>
        <c:scaling>
          <c:orientation val="minMax"/>
        </c:scaling>
        <c:axPos val="l"/>
        <c:majorGridlines/>
        <c:numFmt formatCode="General" sourceLinked="1"/>
        <c:tickLblPos val="nextTo"/>
        <c:crossAx val="1609936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123825</xdr:rowOff>
    </xdr:from>
    <xdr:to>
      <xdr:col>10</xdr:col>
      <xdr:colOff>457200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123825</xdr:rowOff>
    </xdr:from>
    <xdr:to>
      <xdr:col>10</xdr:col>
      <xdr:colOff>457200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123825</xdr:rowOff>
    </xdr:from>
    <xdr:to>
      <xdr:col>10</xdr:col>
      <xdr:colOff>457200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123825</xdr:rowOff>
    </xdr:from>
    <xdr:to>
      <xdr:col>10</xdr:col>
      <xdr:colOff>457200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5</xdr:row>
      <xdr:rowOff>1</xdr:rowOff>
    </xdr:from>
    <xdr:to>
      <xdr:col>5</xdr:col>
      <xdr:colOff>419100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438149</xdr:colOff>
      <xdr:row>4</xdr:row>
      <xdr:rowOff>180975</xdr:rowOff>
    </xdr:from>
    <xdr:to>
      <xdr:col>10</xdr:col>
      <xdr:colOff>592666</xdr:colOff>
      <xdr:row>20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201083</xdr:colOff>
      <xdr:row>4</xdr:row>
      <xdr:rowOff>171450</xdr:rowOff>
    </xdr:from>
    <xdr:to>
      <xdr:col>16</xdr:col>
      <xdr:colOff>380999</xdr:colOff>
      <xdr:row>19</xdr:row>
      <xdr:rowOff>127000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4</xdr:row>
      <xdr:rowOff>169332</xdr:rowOff>
    </xdr:from>
    <xdr:to>
      <xdr:col>21</xdr:col>
      <xdr:colOff>592667</xdr:colOff>
      <xdr:row>19</xdr:row>
      <xdr:rowOff>127000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esh" refreshedDate="46184.652239930554" createdVersion="3" refreshedVersion="3" minRefreshableVersion="3" recordCount="500">
  <cacheSource type="worksheet">
    <worksheetSource name="Table1"/>
  </cacheSource>
  <cacheFields count="14">
    <cacheField name="EmployeeID" numFmtId="0">
      <sharedItems/>
    </cacheField>
    <cacheField name="Age" numFmtId="0">
      <sharedItems containsSemiMixedTypes="0" containsString="0" containsNumber="1" containsInteger="1" minValue="21" maxValue="60"/>
    </cacheField>
    <cacheField name="Gender" numFmtId="0">
      <sharedItems/>
    </cacheField>
    <cacheField name="Department" numFmtId="0">
      <sharedItems count="5">
        <s v="Sales"/>
        <s v="Finance"/>
        <s v="Operations"/>
        <s v="HR"/>
        <s v="IT"/>
      </sharedItems>
    </cacheField>
    <cacheField name="Education" numFmtId="0">
      <sharedItems/>
    </cacheField>
    <cacheField name="ExperienceYears" numFmtId="0">
      <sharedItems containsSemiMixedTypes="0" containsString="0" containsNumber="1" containsInteger="1" minValue="0" maxValue="20"/>
    </cacheField>
    <cacheField name="Salary" numFmtId="0">
      <sharedItems containsSemiMixedTypes="0" containsString="0" containsNumber="1" containsInteger="1" minValue="250317" maxValue="1792111"/>
    </cacheField>
    <cacheField name="WorkMode" numFmtId="0">
      <sharedItems count="3">
        <s v="Remote"/>
        <s v="Hybrid"/>
        <s v="Office"/>
      </sharedItems>
    </cacheField>
    <cacheField name="SatisfactionScore" numFmtId="0">
      <sharedItems containsSemiMixedTypes="0" containsString="0" containsNumber="1" containsInteger="1" minValue="1" maxValue="10" count="10">
        <n v="9"/>
        <n v="6"/>
        <n v="8"/>
        <n v="5"/>
        <n v="1"/>
        <n v="7"/>
        <n v="2"/>
        <n v="4"/>
        <n v="10"/>
        <n v="3"/>
      </sharedItems>
    </cacheField>
    <cacheField name="Overtime" numFmtId="0">
      <sharedItems count="2">
        <s v="Yes"/>
        <s v="No"/>
      </sharedItems>
    </cacheField>
    <cacheField name="TrainingHours" numFmtId="0">
      <sharedItems containsSemiMixedTypes="0" containsString="0" containsNumber="1" containsInteger="1" minValue="0" maxValue="60"/>
    </cacheField>
    <cacheField name="PerformanceRating" numFmtId="0">
      <sharedItems containsSemiMixedTypes="0" containsString="0" containsNumber="1" containsInteger="1" minValue="1" maxValue="5"/>
    </cacheField>
    <cacheField name="PromotionLast3Years" numFmtId="0">
      <sharedItems/>
    </cacheField>
    <cacheField name="Attrition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EMP001"/>
    <n v="33"/>
    <s v="Female"/>
    <x v="0"/>
    <s v="Bachelor"/>
    <n v="15"/>
    <n v="715308"/>
    <x v="0"/>
    <x v="0"/>
    <x v="0"/>
    <n v="56"/>
    <n v="5"/>
    <s v="Yes"/>
    <x v="0"/>
  </r>
  <r>
    <s v="EMP002"/>
    <n v="53"/>
    <s v="Male"/>
    <x v="0"/>
    <s v="Diploma"/>
    <n v="9"/>
    <n v="267469"/>
    <x v="0"/>
    <x v="1"/>
    <x v="1"/>
    <n v="52"/>
    <n v="3"/>
    <s v="Yes"/>
    <x v="0"/>
  </r>
  <r>
    <s v="EMP003"/>
    <n v="25"/>
    <s v="Female"/>
    <x v="1"/>
    <s v="Diploma"/>
    <n v="7"/>
    <n v="913427"/>
    <x v="0"/>
    <x v="2"/>
    <x v="1"/>
    <n v="57"/>
    <n v="3"/>
    <s v="No"/>
    <x v="0"/>
  </r>
  <r>
    <s v="EMP004"/>
    <n v="32"/>
    <s v="Male"/>
    <x v="2"/>
    <s v="Diploma"/>
    <n v="15"/>
    <n v="833850"/>
    <x v="1"/>
    <x v="3"/>
    <x v="1"/>
    <n v="14"/>
    <n v="5"/>
    <s v="No"/>
    <x v="0"/>
  </r>
  <r>
    <s v="EMP005"/>
    <n v="24"/>
    <s v="Male"/>
    <x v="3"/>
    <s v="Master"/>
    <n v="3"/>
    <n v="319462"/>
    <x v="0"/>
    <x v="0"/>
    <x v="0"/>
    <n v="39"/>
    <n v="5"/>
    <s v="No"/>
    <x v="0"/>
  </r>
  <r>
    <s v="EMP006"/>
    <n v="27"/>
    <s v="Male"/>
    <x v="3"/>
    <s v="MBA"/>
    <n v="19"/>
    <n v="1568606"/>
    <x v="2"/>
    <x v="4"/>
    <x v="1"/>
    <n v="32"/>
    <n v="1"/>
    <s v="No"/>
    <x v="0"/>
  </r>
  <r>
    <s v="EMP007"/>
    <n v="41"/>
    <s v="Male"/>
    <x v="4"/>
    <s v="Bachelor"/>
    <n v="20"/>
    <n v="394127"/>
    <x v="0"/>
    <x v="2"/>
    <x v="0"/>
    <n v="13"/>
    <n v="2"/>
    <s v="Yes"/>
    <x v="0"/>
  </r>
  <r>
    <s v="EMP008"/>
    <n v="24"/>
    <s v="Female"/>
    <x v="0"/>
    <s v="Diploma"/>
    <n v="13"/>
    <n v="1084943"/>
    <x v="2"/>
    <x v="5"/>
    <x v="1"/>
    <n v="38"/>
    <n v="4"/>
    <s v="Yes"/>
    <x v="0"/>
  </r>
  <r>
    <s v="EMP009"/>
    <n v="54"/>
    <s v="Male"/>
    <x v="3"/>
    <s v="Master"/>
    <n v="12"/>
    <n v="1147412"/>
    <x v="1"/>
    <x v="6"/>
    <x v="1"/>
    <n v="5"/>
    <n v="2"/>
    <s v="No"/>
    <x v="0"/>
  </r>
  <r>
    <s v="EMP010"/>
    <n v="28"/>
    <s v="Male"/>
    <x v="0"/>
    <s v="Diploma"/>
    <n v="10"/>
    <n v="1770290"/>
    <x v="2"/>
    <x v="7"/>
    <x v="1"/>
    <n v="60"/>
    <n v="4"/>
    <s v="No"/>
    <x v="0"/>
  </r>
  <r>
    <s v="EMP011"/>
    <n v="34"/>
    <s v="Female"/>
    <x v="4"/>
    <s v="Bachelor"/>
    <n v="6"/>
    <n v="801598"/>
    <x v="1"/>
    <x v="7"/>
    <x v="1"/>
    <n v="60"/>
    <n v="2"/>
    <s v="No"/>
    <x v="0"/>
  </r>
  <r>
    <s v="EMP012"/>
    <n v="43"/>
    <s v="Female"/>
    <x v="0"/>
    <s v="Master"/>
    <n v="8"/>
    <n v="1477324"/>
    <x v="2"/>
    <x v="5"/>
    <x v="1"/>
    <n v="36"/>
    <n v="3"/>
    <s v="No"/>
    <x v="0"/>
  </r>
  <r>
    <s v="EMP013"/>
    <n v="45"/>
    <s v="Female"/>
    <x v="2"/>
    <s v="Master"/>
    <n v="20"/>
    <n v="1270881"/>
    <x v="1"/>
    <x v="8"/>
    <x v="0"/>
    <n v="25"/>
    <n v="1"/>
    <s v="No"/>
    <x v="0"/>
  </r>
  <r>
    <s v="EMP014"/>
    <n v="28"/>
    <s v="Female"/>
    <x v="3"/>
    <s v="Diploma"/>
    <n v="19"/>
    <n v="1536129"/>
    <x v="0"/>
    <x v="3"/>
    <x v="1"/>
    <n v="24"/>
    <n v="2"/>
    <s v="No"/>
    <x v="0"/>
  </r>
  <r>
    <s v="EMP015"/>
    <n v="30"/>
    <s v="Female"/>
    <x v="3"/>
    <s v="Diploma"/>
    <n v="18"/>
    <n v="1389625"/>
    <x v="1"/>
    <x v="0"/>
    <x v="1"/>
    <n v="16"/>
    <n v="3"/>
    <s v="Yes"/>
    <x v="0"/>
  </r>
  <r>
    <s v="EMP016"/>
    <n v="29"/>
    <s v="Male"/>
    <x v="1"/>
    <s v="Diploma"/>
    <n v="5"/>
    <n v="1093863"/>
    <x v="1"/>
    <x v="1"/>
    <x v="1"/>
    <n v="11"/>
    <n v="1"/>
    <s v="No"/>
    <x v="0"/>
  </r>
  <r>
    <s v="EMP017"/>
    <n v="28"/>
    <s v="Male"/>
    <x v="0"/>
    <s v="Master"/>
    <n v="3"/>
    <n v="893999"/>
    <x v="2"/>
    <x v="0"/>
    <x v="0"/>
    <n v="7"/>
    <n v="5"/>
    <s v="No"/>
    <x v="0"/>
  </r>
  <r>
    <s v="EMP018"/>
    <n v="49"/>
    <s v="Male"/>
    <x v="2"/>
    <s v="Bachelor"/>
    <n v="17"/>
    <n v="645538"/>
    <x v="2"/>
    <x v="3"/>
    <x v="1"/>
    <n v="23"/>
    <n v="1"/>
    <s v="Yes"/>
    <x v="0"/>
  </r>
  <r>
    <s v="EMP019"/>
    <n v="29"/>
    <s v="Male"/>
    <x v="2"/>
    <s v="Diploma"/>
    <n v="13"/>
    <n v="777886"/>
    <x v="1"/>
    <x v="1"/>
    <x v="1"/>
    <n v="5"/>
    <n v="4"/>
    <s v="No"/>
    <x v="0"/>
  </r>
  <r>
    <s v="EMP020"/>
    <n v="33"/>
    <s v="Male"/>
    <x v="3"/>
    <s v="MBA"/>
    <n v="3"/>
    <n v="823269"/>
    <x v="1"/>
    <x v="4"/>
    <x v="0"/>
    <n v="43"/>
    <n v="5"/>
    <s v="Yes"/>
    <x v="1"/>
  </r>
  <r>
    <s v="EMP021"/>
    <n v="26"/>
    <s v="Female"/>
    <x v="2"/>
    <s v="Bachelor"/>
    <n v="20"/>
    <n v="1532784"/>
    <x v="2"/>
    <x v="4"/>
    <x v="1"/>
    <n v="58"/>
    <n v="1"/>
    <s v="Yes"/>
    <x v="0"/>
  </r>
  <r>
    <s v="EMP022"/>
    <n v="36"/>
    <s v="Female"/>
    <x v="4"/>
    <s v="Bachelor"/>
    <n v="11"/>
    <n v="305804"/>
    <x v="0"/>
    <x v="2"/>
    <x v="1"/>
    <n v="38"/>
    <n v="3"/>
    <s v="No"/>
    <x v="0"/>
  </r>
  <r>
    <s v="EMP023"/>
    <n v="48"/>
    <s v="Female"/>
    <x v="2"/>
    <s v="Bachelor"/>
    <n v="12"/>
    <n v="745368"/>
    <x v="1"/>
    <x v="6"/>
    <x v="1"/>
    <n v="55"/>
    <n v="5"/>
    <s v="No"/>
    <x v="0"/>
  </r>
  <r>
    <s v="EMP024"/>
    <n v="47"/>
    <s v="Male"/>
    <x v="0"/>
    <s v="Bachelor"/>
    <n v="20"/>
    <n v="660671"/>
    <x v="2"/>
    <x v="6"/>
    <x v="0"/>
    <n v="1"/>
    <n v="2"/>
    <s v="Yes"/>
    <x v="1"/>
  </r>
  <r>
    <s v="EMP025"/>
    <n v="34"/>
    <s v="Female"/>
    <x v="2"/>
    <s v="Bachelor"/>
    <n v="5"/>
    <n v="700463"/>
    <x v="2"/>
    <x v="3"/>
    <x v="0"/>
    <n v="58"/>
    <n v="5"/>
    <s v="No"/>
    <x v="0"/>
  </r>
  <r>
    <s v="EMP026"/>
    <n v="52"/>
    <s v="Male"/>
    <x v="0"/>
    <s v="Master"/>
    <n v="18"/>
    <n v="1409287"/>
    <x v="2"/>
    <x v="3"/>
    <x v="0"/>
    <n v="10"/>
    <n v="3"/>
    <s v="No"/>
    <x v="0"/>
  </r>
  <r>
    <s v="EMP027"/>
    <n v="59"/>
    <s v="Male"/>
    <x v="3"/>
    <s v="Diploma"/>
    <n v="12"/>
    <n v="1565280"/>
    <x v="2"/>
    <x v="0"/>
    <x v="0"/>
    <n v="13"/>
    <n v="1"/>
    <s v="No"/>
    <x v="0"/>
  </r>
  <r>
    <s v="EMP028"/>
    <n v="45"/>
    <s v="Female"/>
    <x v="3"/>
    <s v="Diploma"/>
    <n v="14"/>
    <n v="256992"/>
    <x v="2"/>
    <x v="3"/>
    <x v="1"/>
    <n v="9"/>
    <n v="2"/>
    <s v="No"/>
    <x v="1"/>
  </r>
  <r>
    <s v="EMP029"/>
    <n v="59"/>
    <s v="Female"/>
    <x v="1"/>
    <s v="Master"/>
    <n v="4"/>
    <n v="842271"/>
    <x v="2"/>
    <x v="3"/>
    <x v="1"/>
    <n v="59"/>
    <n v="1"/>
    <s v="Yes"/>
    <x v="0"/>
  </r>
  <r>
    <s v="EMP030"/>
    <n v="52"/>
    <s v="Female"/>
    <x v="0"/>
    <s v="MBA"/>
    <n v="15"/>
    <n v="531802"/>
    <x v="1"/>
    <x v="8"/>
    <x v="1"/>
    <n v="33"/>
    <n v="3"/>
    <s v="No"/>
    <x v="0"/>
  </r>
  <r>
    <s v="EMP031"/>
    <n v="37"/>
    <s v="Male"/>
    <x v="1"/>
    <s v="Diploma"/>
    <n v="12"/>
    <n v="560509"/>
    <x v="0"/>
    <x v="8"/>
    <x v="1"/>
    <n v="48"/>
    <n v="3"/>
    <s v="No"/>
    <x v="0"/>
  </r>
  <r>
    <s v="EMP032"/>
    <n v="25"/>
    <s v="Male"/>
    <x v="3"/>
    <s v="Diploma"/>
    <n v="4"/>
    <n v="749608"/>
    <x v="2"/>
    <x v="4"/>
    <x v="0"/>
    <n v="22"/>
    <n v="5"/>
    <s v="Yes"/>
    <x v="1"/>
  </r>
  <r>
    <s v="EMP033"/>
    <n v="59"/>
    <s v="Female"/>
    <x v="3"/>
    <s v="MBA"/>
    <n v="0"/>
    <n v="1417762"/>
    <x v="0"/>
    <x v="1"/>
    <x v="1"/>
    <n v="24"/>
    <n v="5"/>
    <s v="Yes"/>
    <x v="0"/>
  </r>
  <r>
    <s v="EMP034"/>
    <n v="39"/>
    <s v="Male"/>
    <x v="1"/>
    <s v="MBA"/>
    <n v="1"/>
    <n v="1175383"/>
    <x v="0"/>
    <x v="1"/>
    <x v="0"/>
    <n v="18"/>
    <n v="2"/>
    <s v="No"/>
    <x v="1"/>
  </r>
  <r>
    <s v="EMP035"/>
    <n v="51"/>
    <s v="Male"/>
    <x v="3"/>
    <s v="MBA"/>
    <n v="1"/>
    <n v="338068"/>
    <x v="2"/>
    <x v="4"/>
    <x v="1"/>
    <n v="56"/>
    <n v="2"/>
    <s v="No"/>
    <x v="1"/>
  </r>
  <r>
    <s v="EMP036"/>
    <n v="23"/>
    <s v="Female"/>
    <x v="3"/>
    <s v="MBA"/>
    <n v="5"/>
    <n v="1203019"/>
    <x v="1"/>
    <x v="9"/>
    <x v="1"/>
    <n v="7"/>
    <n v="3"/>
    <s v="No"/>
    <x v="0"/>
  </r>
  <r>
    <s v="EMP037"/>
    <n v="43"/>
    <s v="Female"/>
    <x v="1"/>
    <s v="Master"/>
    <n v="3"/>
    <n v="626838"/>
    <x v="1"/>
    <x v="1"/>
    <x v="0"/>
    <n v="18"/>
    <n v="1"/>
    <s v="No"/>
    <x v="0"/>
  </r>
  <r>
    <s v="EMP038"/>
    <n v="44"/>
    <s v="Male"/>
    <x v="0"/>
    <s v="Diploma"/>
    <n v="3"/>
    <n v="529358"/>
    <x v="1"/>
    <x v="3"/>
    <x v="0"/>
    <n v="48"/>
    <n v="5"/>
    <s v="No"/>
    <x v="0"/>
  </r>
  <r>
    <s v="EMP039"/>
    <n v="55"/>
    <s v="Male"/>
    <x v="2"/>
    <s v="Bachelor"/>
    <n v="6"/>
    <n v="1618001"/>
    <x v="0"/>
    <x v="3"/>
    <x v="1"/>
    <n v="55"/>
    <n v="2"/>
    <s v="No"/>
    <x v="0"/>
  </r>
  <r>
    <s v="EMP040"/>
    <n v="59"/>
    <s v="Male"/>
    <x v="3"/>
    <s v="MBA"/>
    <n v="19"/>
    <n v="1708756"/>
    <x v="2"/>
    <x v="0"/>
    <x v="1"/>
    <n v="39"/>
    <n v="1"/>
    <s v="Yes"/>
    <x v="0"/>
  </r>
  <r>
    <s v="EMP041"/>
    <n v="24"/>
    <s v="Female"/>
    <x v="3"/>
    <s v="Diploma"/>
    <n v="3"/>
    <n v="399736"/>
    <x v="1"/>
    <x v="8"/>
    <x v="0"/>
    <n v="36"/>
    <n v="1"/>
    <s v="No"/>
    <x v="0"/>
  </r>
  <r>
    <s v="EMP042"/>
    <n v="44"/>
    <s v="Female"/>
    <x v="4"/>
    <s v="Master"/>
    <n v="1"/>
    <n v="484486"/>
    <x v="2"/>
    <x v="1"/>
    <x v="0"/>
    <n v="22"/>
    <n v="1"/>
    <s v="No"/>
    <x v="1"/>
  </r>
  <r>
    <s v="EMP043"/>
    <n v="48"/>
    <s v="Male"/>
    <x v="1"/>
    <s v="MBA"/>
    <n v="7"/>
    <n v="1170869"/>
    <x v="0"/>
    <x v="3"/>
    <x v="1"/>
    <n v="12"/>
    <n v="4"/>
    <s v="No"/>
    <x v="0"/>
  </r>
  <r>
    <s v="EMP044"/>
    <n v="26"/>
    <s v="Female"/>
    <x v="1"/>
    <s v="Master"/>
    <n v="1"/>
    <n v="303315"/>
    <x v="2"/>
    <x v="9"/>
    <x v="0"/>
    <n v="32"/>
    <n v="4"/>
    <s v="No"/>
    <x v="1"/>
  </r>
  <r>
    <s v="EMP045"/>
    <n v="36"/>
    <s v="Male"/>
    <x v="2"/>
    <s v="Diploma"/>
    <n v="4"/>
    <n v="689555"/>
    <x v="1"/>
    <x v="6"/>
    <x v="1"/>
    <n v="32"/>
    <n v="1"/>
    <s v="No"/>
    <x v="0"/>
  </r>
  <r>
    <s v="EMP046"/>
    <n v="44"/>
    <s v="Female"/>
    <x v="4"/>
    <s v="Diploma"/>
    <n v="6"/>
    <n v="1269600"/>
    <x v="2"/>
    <x v="6"/>
    <x v="0"/>
    <n v="43"/>
    <n v="2"/>
    <s v="No"/>
    <x v="1"/>
  </r>
  <r>
    <s v="EMP047"/>
    <n v="40"/>
    <s v="Male"/>
    <x v="4"/>
    <s v="MBA"/>
    <n v="9"/>
    <n v="1488205"/>
    <x v="2"/>
    <x v="2"/>
    <x v="1"/>
    <n v="16"/>
    <n v="3"/>
    <s v="No"/>
    <x v="0"/>
  </r>
  <r>
    <s v="EMP048"/>
    <n v="54"/>
    <s v="Female"/>
    <x v="1"/>
    <s v="Master"/>
    <n v="18"/>
    <n v="1529263"/>
    <x v="2"/>
    <x v="6"/>
    <x v="0"/>
    <n v="59"/>
    <n v="5"/>
    <s v="No"/>
    <x v="1"/>
  </r>
  <r>
    <s v="EMP049"/>
    <n v="21"/>
    <s v="Female"/>
    <x v="3"/>
    <s v="Diploma"/>
    <n v="9"/>
    <n v="1594260"/>
    <x v="0"/>
    <x v="4"/>
    <x v="1"/>
    <n v="10"/>
    <n v="2"/>
    <s v="No"/>
    <x v="0"/>
  </r>
  <r>
    <s v="EMP050"/>
    <n v="46"/>
    <s v="Female"/>
    <x v="2"/>
    <s v="Master"/>
    <n v="13"/>
    <n v="1597404"/>
    <x v="1"/>
    <x v="3"/>
    <x v="1"/>
    <n v="20"/>
    <n v="5"/>
    <s v="No"/>
    <x v="0"/>
  </r>
  <r>
    <s v="EMP051"/>
    <n v="38"/>
    <s v="Male"/>
    <x v="3"/>
    <s v="Bachelor"/>
    <n v="4"/>
    <n v="1596329"/>
    <x v="2"/>
    <x v="3"/>
    <x v="0"/>
    <n v="59"/>
    <n v="3"/>
    <s v="No"/>
    <x v="0"/>
  </r>
  <r>
    <s v="EMP052"/>
    <n v="24"/>
    <s v="Male"/>
    <x v="1"/>
    <s v="Diploma"/>
    <n v="3"/>
    <n v="670972"/>
    <x v="1"/>
    <x v="6"/>
    <x v="1"/>
    <n v="42"/>
    <n v="5"/>
    <s v="Yes"/>
    <x v="0"/>
  </r>
  <r>
    <s v="EMP053"/>
    <n v="31"/>
    <s v="Male"/>
    <x v="4"/>
    <s v="Diploma"/>
    <n v="11"/>
    <n v="1061467"/>
    <x v="2"/>
    <x v="0"/>
    <x v="1"/>
    <n v="7"/>
    <n v="1"/>
    <s v="No"/>
    <x v="0"/>
  </r>
  <r>
    <s v="EMP054"/>
    <n v="24"/>
    <s v="Male"/>
    <x v="2"/>
    <s v="Master"/>
    <n v="16"/>
    <n v="1303399"/>
    <x v="2"/>
    <x v="6"/>
    <x v="0"/>
    <n v="58"/>
    <n v="4"/>
    <s v="Yes"/>
    <x v="1"/>
  </r>
  <r>
    <s v="EMP055"/>
    <n v="41"/>
    <s v="Female"/>
    <x v="2"/>
    <s v="Bachelor"/>
    <n v="16"/>
    <n v="827912"/>
    <x v="0"/>
    <x v="0"/>
    <x v="1"/>
    <n v="6"/>
    <n v="4"/>
    <s v="No"/>
    <x v="0"/>
  </r>
  <r>
    <s v="EMP056"/>
    <n v="42"/>
    <s v="Male"/>
    <x v="1"/>
    <s v="Bachelor"/>
    <n v="11"/>
    <n v="575376"/>
    <x v="2"/>
    <x v="6"/>
    <x v="1"/>
    <n v="3"/>
    <n v="2"/>
    <s v="No"/>
    <x v="0"/>
  </r>
  <r>
    <s v="EMP057"/>
    <n v="52"/>
    <s v="Female"/>
    <x v="3"/>
    <s v="Bachelor"/>
    <n v="15"/>
    <n v="1566066"/>
    <x v="2"/>
    <x v="4"/>
    <x v="1"/>
    <n v="43"/>
    <n v="5"/>
    <s v="Yes"/>
    <x v="0"/>
  </r>
  <r>
    <s v="EMP058"/>
    <n v="48"/>
    <s v="Female"/>
    <x v="3"/>
    <s v="Bachelor"/>
    <n v="3"/>
    <n v="1203378"/>
    <x v="0"/>
    <x v="7"/>
    <x v="1"/>
    <n v="58"/>
    <n v="3"/>
    <s v="No"/>
    <x v="0"/>
  </r>
  <r>
    <s v="EMP059"/>
    <n v="27"/>
    <s v="Male"/>
    <x v="0"/>
    <s v="Bachelor"/>
    <n v="6"/>
    <n v="482902"/>
    <x v="0"/>
    <x v="0"/>
    <x v="0"/>
    <n v="36"/>
    <n v="5"/>
    <s v="No"/>
    <x v="0"/>
  </r>
  <r>
    <s v="EMP060"/>
    <n v="43"/>
    <s v="Male"/>
    <x v="1"/>
    <s v="Bachelor"/>
    <n v="6"/>
    <n v="1717081"/>
    <x v="1"/>
    <x v="0"/>
    <x v="0"/>
    <n v="25"/>
    <n v="4"/>
    <s v="No"/>
    <x v="0"/>
  </r>
  <r>
    <s v="EMP061"/>
    <n v="54"/>
    <s v="Male"/>
    <x v="0"/>
    <s v="MBA"/>
    <n v="6"/>
    <n v="1536995"/>
    <x v="0"/>
    <x v="0"/>
    <x v="1"/>
    <n v="47"/>
    <n v="3"/>
    <s v="No"/>
    <x v="0"/>
  </r>
  <r>
    <s v="EMP062"/>
    <n v="33"/>
    <s v="Female"/>
    <x v="3"/>
    <s v="Bachelor"/>
    <n v="9"/>
    <n v="454064"/>
    <x v="0"/>
    <x v="2"/>
    <x v="1"/>
    <n v="11"/>
    <n v="5"/>
    <s v="No"/>
    <x v="0"/>
  </r>
  <r>
    <s v="EMP063"/>
    <n v="28"/>
    <s v="Female"/>
    <x v="0"/>
    <s v="Bachelor"/>
    <n v="18"/>
    <n v="1192662"/>
    <x v="0"/>
    <x v="0"/>
    <x v="0"/>
    <n v="52"/>
    <n v="3"/>
    <s v="No"/>
    <x v="0"/>
  </r>
  <r>
    <s v="EMP064"/>
    <n v="25"/>
    <s v="Male"/>
    <x v="2"/>
    <s v="MBA"/>
    <n v="7"/>
    <n v="1562101"/>
    <x v="2"/>
    <x v="2"/>
    <x v="1"/>
    <n v="21"/>
    <n v="3"/>
    <s v="No"/>
    <x v="0"/>
  </r>
  <r>
    <s v="EMP065"/>
    <n v="46"/>
    <s v="Female"/>
    <x v="1"/>
    <s v="MBA"/>
    <n v="9"/>
    <n v="1515330"/>
    <x v="1"/>
    <x v="3"/>
    <x v="1"/>
    <n v="0"/>
    <n v="4"/>
    <s v="No"/>
    <x v="0"/>
  </r>
  <r>
    <s v="EMP066"/>
    <n v="50"/>
    <s v="Male"/>
    <x v="4"/>
    <s v="MBA"/>
    <n v="3"/>
    <n v="294292"/>
    <x v="0"/>
    <x v="9"/>
    <x v="0"/>
    <n v="13"/>
    <n v="4"/>
    <s v="Yes"/>
    <x v="1"/>
  </r>
  <r>
    <s v="EMP067"/>
    <n v="39"/>
    <s v="Female"/>
    <x v="1"/>
    <s v="Bachelor"/>
    <n v="10"/>
    <n v="549800"/>
    <x v="0"/>
    <x v="9"/>
    <x v="1"/>
    <n v="50"/>
    <n v="2"/>
    <s v="No"/>
    <x v="0"/>
  </r>
  <r>
    <s v="EMP068"/>
    <n v="28"/>
    <s v="Female"/>
    <x v="2"/>
    <s v="Bachelor"/>
    <n v="15"/>
    <n v="1288894"/>
    <x v="0"/>
    <x v="0"/>
    <x v="1"/>
    <n v="6"/>
    <n v="2"/>
    <s v="No"/>
    <x v="0"/>
  </r>
  <r>
    <s v="EMP069"/>
    <n v="34"/>
    <s v="Male"/>
    <x v="3"/>
    <s v="Master"/>
    <n v="9"/>
    <n v="959639"/>
    <x v="2"/>
    <x v="2"/>
    <x v="0"/>
    <n v="2"/>
    <n v="1"/>
    <s v="No"/>
    <x v="0"/>
  </r>
  <r>
    <s v="EMP070"/>
    <n v="40"/>
    <s v="Male"/>
    <x v="0"/>
    <s v="Diploma"/>
    <n v="4"/>
    <n v="1099637"/>
    <x v="1"/>
    <x v="6"/>
    <x v="1"/>
    <n v="8"/>
    <n v="3"/>
    <s v="No"/>
    <x v="0"/>
  </r>
  <r>
    <s v="EMP071"/>
    <n v="26"/>
    <s v="Male"/>
    <x v="0"/>
    <s v="Diploma"/>
    <n v="3"/>
    <n v="580004"/>
    <x v="2"/>
    <x v="6"/>
    <x v="0"/>
    <n v="10"/>
    <n v="5"/>
    <s v="Yes"/>
    <x v="1"/>
  </r>
  <r>
    <s v="EMP072"/>
    <n v="34"/>
    <s v="Female"/>
    <x v="2"/>
    <s v="MBA"/>
    <n v="18"/>
    <n v="285558"/>
    <x v="0"/>
    <x v="6"/>
    <x v="1"/>
    <n v="18"/>
    <n v="2"/>
    <s v="No"/>
    <x v="1"/>
  </r>
  <r>
    <s v="EMP073"/>
    <n v="30"/>
    <s v="Female"/>
    <x v="3"/>
    <s v="Master"/>
    <n v="4"/>
    <n v="297645"/>
    <x v="2"/>
    <x v="7"/>
    <x v="1"/>
    <n v="23"/>
    <n v="3"/>
    <s v="No"/>
    <x v="1"/>
  </r>
  <r>
    <s v="EMP074"/>
    <n v="57"/>
    <s v="Male"/>
    <x v="2"/>
    <s v="Master"/>
    <n v="19"/>
    <n v="1126005"/>
    <x v="2"/>
    <x v="3"/>
    <x v="0"/>
    <n v="33"/>
    <n v="3"/>
    <s v="Yes"/>
    <x v="0"/>
  </r>
  <r>
    <s v="EMP075"/>
    <n v="38"/>
    <s v="Female"/>
    <x v="4"/>
    <s v="Diploma"/>
    <n v="0"/>
    <n v="1509217"/>
    <x v="1"/>
    <x v="5"/>
    <x v="0"/>
    <n v="16"/>
    <n v="1"/>
    <s v="No"/>
    <x v="1"/>
  </r>
  <r>
    <s v="EMP076"/>
    <n v="53"/>
    <s v="Female"/>
    <x v="4"/>
    <s v="Master"/>
    <n v="20"/>
    <n v="1057603"/>
    <x v="2"/>
    <x v="3"/>
    <x v="1"/>
    <n v="13"/>
    <n v="4"/>
    <s v="No"/>
    <x v="0"/>
  </r>
  <r>
    <s v="EMP077"/>
    <n v="59"/>
    <s v="Female"/>
    <x v="4"/>
    <s v="Bachelor"/>
    <n v="6"/>
    <n v="978954"/>
    <x v="0"/>
    <x v="6"/>
    <x v="1"/>
    <n v="41"/>
    <n v="4"/>
    <s v="Yes"/>
    <x v="0"/>
  </r>
  <r>
    <s v="EMP078"/>
    <n v="23"/>
    <s v="Female"/>
    <x v="1"/>
    <s v="Diploma"/>
    <n v="20"/>
    <n v="1561508"/>
    <x v="0"/>
    <x v="9"/>
    <x v="1"/>
    <n v="28"/>
    <n v="2"/>
    <s v="No"/>
    <x v="0"/>
  </r>
  <r>
    <s v="EMP079"/>
    <n v="26"/>
    <s v="Female"/>
    <x v="3"/>
    <s v="Master"/>
    <n v="0"/>
    <n v="1013213"/>
    <x v="0"/>
    <x v="5"/>
    <x v="1"/>
    <n v="7"/>
    <n v="2"/>
    <s v="No"/>
    <x v="0"/>
  </r>
  <r>
    <s v="EMP080"/>
    <n v="37"/>
    <s v="Female"/>
    <x v="3"/>
    <s v="Bachelor"/>
    <n v="15"/>
    <n v="490618"/>
    <x v="2"/>
    <x v="6"/>
    <x v="0"/>
    <n v="30"/>
    <n v="2"/>
    <s v="Yes"/>
    <x v="1"/>
  </r>
  <r>
    <s v="EMP081"/>
    <n v="45"/>
    <s v="Female"/>
    <x v="4"/>
    <s v="MBA"/>
    <n v="8"/>
    <n v="759484"/>
    <x v="1"/>
    <x v="1"/>
    <x v="1"/>
    <n v="44"/>
    <n v="1"/>
    <s v="No"/>
    <x v="0"/>
  </r>
  <r>
    <s v="EMP082"/>
    <n v="40"/>
    <s v="Male"/>
    <x v="2"/>
    <s v="Bachelor"/>
    <n v="4"/>
    <n v="716236"/>
    <x v="1"/>
    <x v="0"/>
    <x v="0"/>
    <n v="24"/>
    <n v="3"/>
    <s v="No"/>
    <x v="0"/>
  </r>
  <r>
    <s v="EMP083"/>
    <n v="52"/>
    <s v="Female"/>
    <x v="4"/>
    <s v="MBA"/>
    <n v="20"/>
    <n v="885312"/>
    <x v="2"/>
    <x v="6"/>
    <x v="1"/>
    <n v="4"/>
    <n v="2"/>
    <s v="No"/>
    <x v="0"/>
  </r>
  <r>
    <s v="EMP084"/>
    <n v="32"/>
    <s v="Female"/>
    <x v="4"/>
    <s v="Master"/>
    <n v="10"/>
    <n v="466807"/>
    <x v="0"/>
    <x v="1"/>
    <x v="0"/>
    <n v="57"/>
    <n v="4"/>
    <s v="No"/>
    <x v="0"/>
  </r>
  <r>
    <s v="EMP085"/>
    <n v="22"/>
    <s v="Male"/>
    <x v="0"/>
    <s v="Diploma"/>
    <n v="1"/>
    <n v="1554086"/>
    <x v="0"/>
    <x v="5"/>
    <x v="0"/>
    <n v="42"/>
    <n v="4"/>
    <s v="No"/>
    <x v="1"/>
  </r>
  <r>
    <s v="EMP086"/>
    <n v="41"/>
    <s v="Female"/>
    <x v="2"/>
    <s v="Diploma"/>
    <n v="7"/>
    <n v="776548"/>
    <x v="0"/>
    <x v="0"/>
    <x v="1"/>
    <n v="52"/>
    <n v="5"/>
    <s v="No"/>
    <x v="0"/>
  </r>
  <r>
    <s v="EMP087"/>
    <n v="51"/>
    <s v="Male"/>
    <x v="2"/>
    <s v="Diploma"/>
    <n v="18"/>
    <n v="718500"/>
    <x v="2"/>
    <x v="9"/>
    <x v="0"/>
    <n v="19"/>
    <n v="1"/>
    <s v="No"/>
    <x v="1"/>
  </r>
  <r>
    <s v="EMP088"/>
    <n v="39"/>
    <s v="Male"/>
    <x v="1"/>
    <s v="Master"/>
    <n v="15"/>
    <n v="1603808"/>
    <x v="0"/>
    <x v="0"/>
    <x v="1"/>
    <n v="50"/>
    <n v="4"/>
    <s v="Yes"/>
    <x v="0"/>
  </r>
  <r>
    <s v="EMP089"/>
    <n v="22"/>
    <s v="Male"/>
    <x v="4"/>
    <s v="MBA"/>
    <n v="5"/>
    <n v="642134"/>
    <x v="0"/>
    <x v="5"/>
    <x v="0"/>
    <n v="2"/>
    <n v="1"/>
    <s v="No"/>
    <x v="0"/>
  </r>
  <r>
    <s v="EMP090"/>
    <n v="59"/>
    <s v="Male"/>
    <x v="4"/>
    <s v="Master"/>
    <n v="7"/>
    <n v="446446"/>
    <x v="0"/>
    <x v="2"/>
    <x v="1"/>
    <n v="58"/>
    <n v="4"/>
    <s v="No"/>
    <x v="0"/>
  </r>
  <r>
    <s v="EMP091"/>
    <n v="33"/>
    <s v="Female"/>
    <x v="3"/>
    <s v="Bachelor"/>
    <n v="19"/>
    <n v="1446048"/>
    <x v="1"/>
    <x v="6"/>
    <x v="1"/>
    <n v="6"/>
    <n v="4"/>
    <s v="No"/>
    <x v="0"/>
  </r>
  <r>
    <s v="EMP092"/>
    <n v="46"/>
    <s v="Female"/>
    <x v="4"/>
    <s v="MBA"/>
    <n v="6"/>
    <n v="603582"/>
    <x v="0"/>
    <x v="1"/>
    <x v="1"/>
    <n v="11"/>
    <n v="2"/>
    <s v="No"/>
    <x v="0"/>
  </r>
  <r>
    <s v="EMP093"/>
    <n v="41"/>
    <s v="Female"/>
    <x v="4"/>
    <s v="MBA"/>
    <n v="13"/>
    <n v="348649"/>
    <x v="1"/>
    <x v="8"/>
    <x v="1"/>
    <n v="57"/>
    <n v="1"/>
    <s v="No"/>
    <x v="0"/>
  </r>
  <r>
    <s v="EMP094"/>
    <n v="45"/>
    <s v="Male"/>
    <x v="3"/>
    <s v="Master"/>
    <n v="18"/>
    <n v="602177"/>
    <x v="2"/>
    <x v="0"/>
    <x v="0"/>
    <n v="14"/>
    <n v="2"/>
    <s v="Yes"/>
    <x v="0"/>
  </r>
  <r>
    <s v="EMP095"/>
    <n v="21"/>
    <s v="Male"/>
    <x v="3"/>
    <s v="Bachelor"/>
    <n v="13"/>
    <n v="1109333"/>
    <x v="1"/>
    <x v="0"/>
    <x v="1"/>
    <n v="49"/>
    <n v="3"/>
    <s v="Yes"/>
    <x v="0"/>
  </r>
  <r>
    <s v="EMP096"/>
    <n v="35"/>
    <s v="Female"/>
    <x v="1"/>
    <s v="Bachelor"/>
    <n v="20"/>
    <n v="519924"/>
    <x v="1"/>
    <x v="4"/>
    <x v="1"/>
    <n v="13"/>
    <n v="4"/>
    <s v="Yes"/>
    <x v="0"/>
  </r>
  <r>
    <s v="EMP097"/>
    <n v="57"/>
    <s v="Female"/>
    <x v="4"/>
    <s v="MBA"/>
    <n v="13"/>
    <n v="1661106"/>
    <x v="0"/>
    <x v="9"/>
    <x v="1"/>
    <n v="48"/>
    <n v="3"/>
    <s v="No"/>
    <x v="0"/>
  </r>
  <r>
    <s v="EMP098"/>
    <n v="44"/>
    <s v="Male"/>
    <x v="3"/>
    <s v="Bachelor"/>
    <n v="3"/>
    <n v="1637875"/>
    <x v="2"/>
    <x v="9"/>
    <x v="1"/>
    <n v="6"/>
    <n v="4"/>
    <s v="Yes"/>
    <x v="0"/>
  </r>
  <r>
    <s v="EMP099"/>
    <n v="32"/>
    <s v="Female"/>
    <x v="1"/>
    <s v="Master"/>
    <n v="13"/>
    <n v="1277846"/>
    <x v="2"/>
    <x v="8"/>
    <x v="1"/>
    <n v="29"/>
    <n v="5"/>
    <s v="No"/>
    <x v="0"/>
  </r>
  <r>
    <s v="EMP100"/>
    <n v="25"/>
    <s v="Male"/>
    <x v="3"/>
    <s v="Bachelor"/>
    <n v="5"/>
    <n v="1261174"/>
    <x v="0"/>
    <x v="2"/>
    <x v="1"/>
    <n v="12"/>
    <n v="2"/>
    <s v="Yes"/>
    <x v="0"/>
  </r>
  <r>
    <s v="EMP101"/>
    <n v="31"/>
    <s v="Female"/>
    <x v="3"/>
    <s v="Bachelor"/>
    <n v="5"/>
    <n v="1622343"/>
    <x v="2"/>
    <x v="5"/>
    <x v="0"/>
    <n v="10"/>
    <n v="5"/>
    <s v="No"/>
    <x v="0"/>
  </r>
  <r>
    <s v="EMP102"/>
    <n v="59"/>
    <s v="Male"/>
    <x v="2"/>
    <s v="Master"/>
    <n v="15"/>
    <n v="1002900"/>
    <x v="1"/>
    <x v="5"/>
    <x v="0"/>
    <n v="46"/>
    <n v="1"/>
    <s v="No"/>
    <x v="0"/>
  </r>
  <r>
    <s v="EMP103"/>
    <n v="26"/>
    <s v="Male"/>
    <x v="3"/>
    <s v="MBA"/>
    <n v="17"/>
    <n v="732714"/>
    <x v="2"/>
    <x v="3"/>
    <x v="1"/>
    <n v="2"/>
    <n v="5"/>
    <s v="No"/>
    <x v="0"/>
  </r>
  <r>
    <s v="EMP104"/>
    <n v="41"/>
    <s v="Male"/>
    <x v="0"/>
    <s v="Master"/>
    <n v="19"/>
    <n v="794219"/>
    <x v="2"/>
    <x v="4"/>
    <x v="0"/>
    <n v="27"/>
    <n v="1"/>
    <s v="No"/>
    <x v="1"/>
  </r>
  <r>
    <s v="EMP105"/>
    <n v="55"/>
    <s v="Female"/>
    <x v="3"/>
    <s v="Master"/>
    <n v="8"/>
    <n v="861146"/>
    <x v="2"/>
    <x v="0"/>
    <x v="1"/>
    <n v="47"/>
    <n v="5"/>
    <s v="No"/>
    <x v="0"/>
  </r>
  <r>
    <s v="EMP106"/>
    <n v="35"/>
    <s v="Male"/>
    <x v="1"/>
    <s v="MBA"/>
    <n v="16"/>
    <n v="1511436"/>
    <x v="2"/>
    <x v="2"/>
    <x v="0"/>
    <n v="24"/>
    <n v="2"/>
    <s v="Yes"/>
    <x v="0"/>
  </r>
  <r>
    <s v="EMP107"/>
    <n v="53"/>
    <s v="Male"/>
    <x v="4"/>
    <s v="Master"/>
    <n v="0"/>
    <n v="408410"/>
    <x v="1"/>
    <x v="1"/>
    <x v="1"/>
    <n v="13"/>
    <n v="2"/>
    <s v="No"/>
    <x v="0"/>
  </r>
  <r>
    <s v="EMP108"/>
    <n v="21"/>
    <s v="Female"/>
    <x v="1"/>
    <s v="MBA"/>
    <n v="9"/>
    <n v="1267599"/>
    <x v="2"/>
    <x v="2"/>
    <x v="1"/>
    <n v="32"/>
    <n v="4"/>
    <s v="No"/>
    <x v="0"/>
  </r>
  <r>
    <s v="EMP109"/>
    <n v="24"/>
    <s v="Female"/>
    <x v="2"/>
    <s v="MBA"/>
    <n v="7"/>
    <n v="1161619"/>
    <x v="2"/>
    <x v="6"/>
    <x v="0"/>
    <n v="31"/>
    <n v="1"/>
    <s v="Yes"/>
    <x v="1"/>
  </r>
  <r>
    <s v="EMP110"/>
    <n v="53"/>
    <s v="Male"/>
    <x v="4"/>
    <s v="Diploma"/>
    <n v="15"/>
    <n v="979690"/>
    <x v="2"/>
    <x v="6"/>
    <x v="1"/>
    <n v="53"/>
    <n v="1"/>
    <s v="No"/>
    <x v="0"/>
  </r>
  <r>
    <s v="EMP111"/>
    <n v="59"/>
    <s v="Male"/>
    <x v="2"/>
    <s v="Bachelor"/>
    <n v="2"/>
    <n v="524171"/>
    <x v="1"/>
    <x v="3"/>
    <x v="0"/>
    <n v="57"/>
    <n v="1"/>
    <s v="Yes"/>
    <x v="0"/>
  </r>
  <r>
    <s v="EMP112"/>
    <n v="35"/>
    <s v="Female"/>
    <x v="3"/>
    <s v="Master"/>
    <n v="1"/>
    <n v="1660313"/>
    <x v="0"/>
    <x v="3"/>
    <x v="1"/>
    <n v="28"/>
    <n v="4"/>
    <s v="Yes"/>
    <x v="0"/>
  </r>
  <r>
    <s v="EMP113"/>
    <n v="24"/>
    <s v="Female"/>
    <x v="4"/>
    <s v="Diploma"/>
    <n v="14"/>
    <n v="1339525"/>
    <x v="0"/>
    <x v="7"/>
    <x v="1"/>
    <n v="47"/>
    <n v="3"/>
    <s v="No"/>
    <x v="0"/>
  </r>
  <r>
    <s v="EMP114"/>
    <n v="44"/>
    <s v="Male"/>
    <x v="0"/>
    <s v="Diploma"/>
    <n v="0"/>
    <n v="461131"/>
    <x v="1"/>
    <x v="5"/>
    <x v="1"/>
    <n v="40"/>
    <n v="2"/>
    <s v="No"/>
    <x v="0"/>
  </r>
  <r>
    <s v="EMP115"/>
    <n v="43"/>
    <s v="Female"/>
    <x v="1"/>
    <s v="MBA"/>
    <n v="20"/>
    <n v="1217002"/>
    <x v="0"/>
    <x v="8"/>
    <x v="0"/>
    <n v="29"/>
    <n v="5"/>
    <s v="No"/>
    <x v="0"/>
  </r>
  <r>
    <s v="EMP116"/>
    <n v="59"/>
    <s v="Female"/>
    <x v="3"/>
    <s v="MBA"/>
    <n v="16"/>
    <n v="416980"/>
    <x v="1"/>
    <x v="0"/>
    <x v="0"/>
    <n v="56"/>
    <n v="1"/>
    <s v="No"/>
    <x v="0"/>
  </r>
  <r>
    <s v="EMP117"/>
    <n v="50"/>
    <s v="Male"/>
    <x v="2"/>
    <s v="Bachelor"/>
    <n v="19"/>
    <n v="1424918"/>
    <x v="0"/>
    <x v="5"/>
    <x v="1"/>
    <n v="54"/>
    <n v="2"/>
    <s v="No"/>
    <x v="0"/>
  </r>
  <r>
    <s v="EMP118"/>
    <n v="38"/>
    <s v="Female"/>
    <x v="0"/>
    <s v="Master"/>
    <n v="15"/>
    <n v="358025"/>
    <x v="0"/>
    <x v="0"/>
    <x v="1"/>
    <n v="0"/>
    <n v="1"/>
    <s v="Yes"/>
    <x v="0"/>
  </r>
  <r>
    <s v="EMP119"/>
    <n v="43"/>
    <s v="Male"/>
    <x v="4"/>
    <s v="Bachelor"/>
    <n v="9"/>
    <n v="1671990"/>
    <x v="2"/>
    <x v="8"/>
    <x v="1"/>
    <n v="28"/>
    <n v="3"/>
    <s v="No"/>
    <x v="0"/>
  </r>
  <r>
    <s v="EMP120"/>
    <n v="24"/>
    <s v="Female"/>
    <x v="1"/>
    <s v="Diploma"/>
    <n v="5"/>
    <n v="501512"/>
    <x v="1"/>
    <x v="9"/>
    <x v="0"/>
    <n v="10"/>
    <n v="4"/>
    <s v="No"/>
    <x v="1"/>
  </r>
  <r>
    <s v="EMP121"/>
    <n v="26"/>
    <s v="Female"/>
    <x v="3"/>
    <s v="Diploma"/>
    <n v="14"/>
    <n v="1174492"/>
    <x v="1"/>
    <x v="6"/>
    <x v="1"/>
    <n v="7"/>
    <n v="2"/>
    <s v="No"/>
    <x v="0"/>
  </r>
  <r>
    <s v="EMP122"/>
    <n v="35"/>
    <s v="Female"/>
    <x v="2"/>
    <s v="MBA"/>
    <n v="8"/>
    <n v="397356"/>
    <x v="1"/>
    <x v="2"/>
    <x v="1"/>
    <n v="56"/>
    <n v="3"/>
    <s v="No"/>
    <x v="0"/>
  </r>
  <r>
    <s v="EMP123"/>
    <n v="30"/>
    <s v="Female"/>
    <x v="1"/>
    <s v="Master"/>
    <n v="19"/>
    <n v="337186"/>
    <x v="1"/>
    <x v="3"/>
    <x v="1"/>
    <n v="6"/>
    <n v="2"/>
    <s v="No"/>
    <x v="1"/>
  </r>
  <r>
    <s v="EMP124"/>
    <n v="28"/>
    <s v="Female"/>
    <x v="0"/>
    <s v="MBA"/>
    <n v="2"/>
    <n v="1486654"/>
    <x v="1"/>
    <x v="8"/>
    <x v="1"/>
    <n v="60"/>
    <n v="2"/>
    <s v="No"/>
    <x v="0"/>
  </r>
  <r>
    <s v="EMP125"/>
    <n v="42"/>
    <s v="Male"/>
    <x v="4"/>
    <s v="Master"/>
    <n v="9"/>
    <n v="317289"/>
    <x v="0"/>
    <x v="7"/>
    <x v="0"/>
    <n v="21"/>
    <n v="5"/>
    <s v="Yes"/>
    <x v="1"/>
  </r>
  <r>
    <s v="EMP126"/>
    <n v="32"/>
    <s v="Male"/>
    <x v="2"/>
    <s v="Master"/>
    <n v="0"/>
    <n v="324308"/>
    <x v="1"/>
    <x v="6"/>
    <x v="1"/>
    <n v="40"/>
    <n v="2"/>
    <s v="No"/>
    <x v="1"/>
  </r>
  <r>
    <s v="EMP127"/>
    <n v="49"/>
    <s v="Female"/>
    <x v="1"/>
    <s v="Diploma"/>
    <n v="6"/>
    <n v="330340"/>
    <x v="2"/>
    <x v="7"/>
    <x v="1"/>
    <n v="20"/>
    <n v="3"/>
    <s v="No"/>
    <x v="1"/>
  </r>
  <r>
    <s v="EMP128"/>
    <n v="36"/>
    <s v="Male"/>
    <x v="0"/>
    <s v="MBA"/>
    <n v="18"/>
    <n v="787232"/>
    <x v="0"/>
    <x v="4"/>
    <x v="1"/>
    <n v="16"/>
    <n v="3"/>
    <s v="No"/>
    <x v="0"/>
  </r>
  <r>
    <s v="EMP129"/>
    <n v="25"/>
    <s v="Male"/>
    <x v="0"/>
    <s v="Diploma"/>
    <n v="5"/>
    <n v="726564"/>
    <x v="1"/>
    <x v="3"/>
    <x v="0"/>
    <n v="8"/>
    <n v="5"/>
    <s v="No"/>
    <x v="0"/>
  </r>
  <r>
    <s v="EMP130"/>
    <n v="52"/>
    <s v="Female"/>
    <x v="3"/>
    <s v="MBA"/>
    <n v="11"/>
    <n v="695899"/>
    <x v="0"/>
    <x v="2"/>
    <x v="0"/>
    <n v="34"/>
    <n v="4"/>
    <s v="Yes"/>
    <x v="0"/>
  </r>
  <r>
    <s v="EMP131"/>
    <n v="28"/>
    <s v="Female"/>
    <x v="1"/>
    <s v="Diploma"/>
    <n v="15"/>
    <n v="1617336"/>
    <x v="1"/>
    <x v="0"/>
    <x v="1"/>
    <n v="8"/>
    <n v="5"/>
    <s v="Yes"/>
    <x v="0"/>
  </r>
  <r>
    <s v="EMP132"/>
    <n v="37"/>
    <s v="Male"/>
    <x v="3"/>
    <s v="MBA"/>
    <n v="7"/>
    <n v="1371376"/>
    <x v="2"/>
    <x v="8"/>
    <x v="1"/>
    <n v="51"/>
    <n v="4"/>
    <s v="No"/>
    <x v="0"/>
  </r>
  <r>
    <s v="EMP133"/>
    <n v="49"/>
    <s v="Female"/>
    <x v="1"/>
    <s v="MBA"/>
    <n v="19"/>
    <n v="1694203"/>
    <x v="2"/>
    <x v="4"/>
    <x v="1"/>
    <n v="7"/>
    <n v="5"/>
    <s v="Yes"/>
    <x v="0"/>
  </r>
  <r>
    <s v="EMP134"/>
    <n v="45"/>
    <s v="Male"/>
    <x v="0"/>
    <s v="Master"/>
    <n v="3"/>
    <n v="470903"/>
    <x v="2"/>
    <x v="5"/>
    <x v="1"/>
    <n v="20"/>
    <n v="4"/>
    <s v="No"/>
    <x v="0"/>
  </r>
  <r>
    <s v="EMP135"/>
    <n v="38"/>
    <s v="Male"/>
    <x v="1"/>
    <s v="Master"/>
    <n v="19"/>
    <n v="1680750"/>
    <x v="0"/>
    <x v="1"/>
    <x v="1"/>
    <n v="11"/>
    <n v="5"/>
    <s v="No"/>
    <x v="0"/>
  </r>
  <r>
    <s v="EMP136"/>
    <n v="33"/>
    <s v="Female"/>
    <x v="0"/>
    <s v="Bachelor"/>
    <n v="17"/>
    <n v="949310"/>
    <x v="2"/>
    <x v="0"/>
    <x v="1"/>
    <n v="27"/>
    <n v="4"/>
    <s v="No"/>
    <x v="0"/>
  </r>
  <r>
    <s v="EMP137"/>
    <n v="22"/>
    <s v="Female"/>
    <x v="0"/>
    <s v="Diploma"/>
    <n v="20"/>
    <n v="1109055"/>
    <x v="1"/>
    <x v="3"/>
    <x v="1"/>
    <n v="48"/>
    <n v="4"/>
    <s v="Yes"/>
    <x v="0"/>
  </r>
  <r>
    <s v="EMP138"/>
    <n v="25"/>
    <s v="Male"/>
    <x v="3"/>
    <s v="Bachelor"/>
    <n v="1"/>
    <n v="338000"/>
    <x v="0"/>
    <x v="7"/>
    <x v="0"/>
    <n v="3"/>
    <n v="5"/>
    <s v="No"/>
    <x v="1"/>
  </r>
  <r>
    <s v="EMP139"/>
    <n v="43"/>
    <s v="Male"/>
    <x v="0"/>
    <s v="Bachelor"/>
    <n v="8"/>
    <n v="885637"/>
    <x v="2"/>
    <x v="4"/>
    <x v="1"/>
    <n v="59"/>
    <n v="5"/>
    <s v="No"/>
    <x v="0"/>
  </r>
  <r>
    <s v="EMP140"/>
    <n v="23"/>
    <s v="Female"/>
    <x v="0"/>
    <s v="Master"/>
    <n v="9"/>
    <n v="272514"/>
    <x v="1"/>
    <x v="8"/>
    <x v="1"/>
    <n v="56"/>
    <n v="1"/>
    <s v="No"/>
    <x v="0"/>
  </r>
  <r>
    <s v="EMP141"/>
    <n v="46"/>
    <s v="Male"/>
    <x v="3"/>
    <s v="MBA"/>
    <n v="16"/>
    <n v="1478594"/>
    <x v="0"/>
    <x v="9"/>
    <x v="1"/>
    <n v="30"/>
    <n v="4"/>
    <s v="No"/>
    <x v="0"/>
  </r>
  <r>
    <s v="EMP142"/>
    <n v="25"/>
    <s v="Female"/>
    <x v="0"/>
    <s v="Diploma"/>
    <n v="11"/>
    <n v="980595"/>
    <x v="2"/>
    <x v="3"/>
    <x v="0"/>
    <n v="59"/>
    <n v="1"/>
    <s v="No"/>
    <x v="0"/>
  </r>
  <r>
    <s v="EMP143"/>
    <n v="37"/>
    <s v="Female"/>
    <x v="4"/>
    <s v="Diploma"/>
    <n v="13"/>
    <n v="886933"/>
    <x v="1"/>
    <x v="8"/>
    <x v="1"/>
    <n v="46"/>
    <n v="5"/>
    <s v="No"/>
    <x v="0"/>
  </r>
  <r>
    <s v="EMP144"/>
    <n v="57"/>
    <s v="Male"/>
    <x v="1"/>
    <s v="Master"/>
    <n v="6"/>
    <n v="1024384"/>
    <x v="1"/>
    <x v="6"/>
    <x v="1"/>
    <n v="6"/>
    <n v="3"/>
    <s v="No"/>
    <x v="0"/>
  </r>
  <r>
    <s v="EMP145"/>
    <n v="53"/>
    <s v="Female"/>
    <x v="4"/>
    <s v="Bachelor"/>
    <n v="15"/>
    <n v="566732"/>
    <x v="2"/>
    <x v="1"/>
    <x v="0"/>
    <n v="34"/>
    <n v="1"/>
    <s v="No"/>
    <x v="0"/>
  </r>
  <r>
    <s v="EMP146"/>
    <n v="59"/>
    <s v="Male"/>
    <x v="1"/>
    <s v="Diploma"/>
    <n v="7"/>
    <n v="999579"/>
    <x v="0"/>
    <x v="8"/>
    <x v="1"/>
    <n v="31"/>
    <n v="3"/>
    <s v="Yes"/>
    <x v="0"/>
  </r>
  <r>
    <s v="EMP147"/>
    <n v="25"/>
    <s v="Female"/>
    <x v="1"/>
    <s v="MBA"/>
    <n v="12"/>
    <n v="1336951"/>
    <x v="1"/>
    <x v="1"/>
    <x v="0"/>
    <n v="24"/>
    <n v="4"/>
    <s v="No"/>
    <x v="0"/>
  </r>
  <r>
    <s v="EMP148"/>
    <n v="30"/>
    <s v="Female"/>
    <x v="1"/>
    <s v="MBA"/>
    <n v="15"/>
    <n v="1567850"/>
    <x v="0"/>
    <x v="3"/>
    <x v="1"/>
    <n v="57"/>
    <n v="3"/>
    <s v="No"/>
    <x v="0"/>
  </r>
  <r>
    <s v="EMP149"/>
    <n v="48"/>
    <s v="Female"/>
    <x v="1"/>
    <s v="Diploma"/>
    <n v="1"/>
    <n v="766465"/>
    <x v="0"/>
    <x v="5"/>
    <x v="1"/>
    <n v="5"/>
    <n v="5"/>
    <s v="Yes"/>
    <x v="0"/>
  </r>
  <r>
    <s v="EMP150"/>
    <n v="26"/>
    <s v="Female"/>
    <x v="3"/>
    <s v="Diploma"/>
    <n v="0"/>
    <n v="1284198"/>
    <x v="2"/>
    <x v="7"/>
    <x v="1"/>
    <n v="52"/>
    <n v="5"/>
    <s v="No"/>
    <x v="0"/>
  </r>
  <r>
    <s v="EMP151"/>
    <n v="25"/>
    <s v="Male"/>
    <x v="2"/>
    <s v="Diploma"/>
    <n v="10"/>
    <n v="1504649"/>
    <x v="1"/>
    <x v="6"/>
    <x v="1"/>
    <n v="35"/>
    <n v="2"/>
    <s v="No"/>
    <x v="0"/>
  </r>
  <r>
    <s v="EMP152"/>
    <n v="54"/>
    <s v="Female"/>
    <x v="2"/>
    <s v="Bachelor"/>
    <n v="6"/>
    <n v="1686034"/>
    <x v="1"/>
    <x v="3"/>
    <x v="1"/>
    <n v="42"/>
    <n v="4"/>
    <s v="No"/>
    <x v="0"/>
  </r>
  <r>
    <s v="EMP153"/>
    <n v="25"/>
    <s v="Male"/>
    <x v="0"/>
    <s v="Bachelor"/>
    <n v="4"/>
    <n v="622785"/>
    <x v="0"/>
    <x v="5"/>
    <x v="1"/>
    <n v="19"/>
    <n v="3"/>
    <s v="Yes"/>
    <x v="0"/>
  </r>
  <r>
    <s v="EMP154"/>
    <n v="30"/>
    <s v="Female"/>
    <x v="4"/>
    <s v="MBA"/>
    <n v="17"/>
    <n v="533034"/>
    <x v="1"/>
    <x v="4"/>
    <x v="0"/>
    <n v="15"/>
    <n v="4"/>
    <s v="Yes"/>
    <x v="1"/>
  </r>
  <r>
    <s v="EMP155"/>
    <n v="34"/>
    <s v="Female"/>
    <x v="3"/>
    <s v="Diploma"/>
    <n v="3"/>
    <n v="1014894"/>
    <x v="0"/>
    <x v="6"/>
    <x v="0"/>
    <n v="15"/>
    <n v="5"/>
    <s v="No"/>
    <x v="1"/>
  </r>
  <r>
    <s v="EMP156"/>
    <n v="34"/>
    <s v="Male"/>
    <x v="4"/>
    <s v="Diploma"/>
    <n v="10"/>
    <n v="1710138"/>
    <x v="2"/>
    <x v="8"/>
    <x v="1"/>
    <n v="44"/>
    <n v="5"/>
    <s v="Yes"/>
    <x v="0"/>
  </r>
  <r>
    <s v="EMP157"/>
    <n v="57"/>
    <s v="Male"/>
    <x v="4"/>
    <s v="Bachelor"/>
    <n v="7"/>
    <n v="697667"/>
    <x v="1"/>
    <x v="5"/>
    <x v="1"/>
    <n v="30"/>
    <n v="5"/>
    <s v="Yes"/>
    <x v="0"/>
  </r>
  <r>
    <s v="EMP158"/>
    <n v="40"/>
    <s v="Female"/>
    <x v="1"/>
    <s v="Bachelor"/>
    <n v="8"/>
    <n v="327488"/>
    <x v="2"/>
    <x v="4"/>
    <x v="1"/>
    <n v="56"/>
    <n v="5"/>
    <s v="No"/>
    <x v="1"/>
  </r>
  <r>
    <s v="EMP159"/>
    <n v="28"/>
    <s v="Male"/>
    <x v="1"/>
    <s v="Master"/>
    <n v="6"/>
    <n v="1310218"/>
    <x v="2"/>
    <x v="8"/>
    <x v="0"/>
    <n v="3"/>
    <n v="1"/>
    <s v="No"/>
    <x v="0"/>
  </r>
  <r>
    <s v="EMP160"/>
    <n v="51"/>
    <s v="Female"/>
    <x v="3"/>
    <s v="Bachelor"/>
    <n v="17"/>
    <n v="1433119"/>
    <x v="0"/>
    <x v="6"/>
    <x v="0"/>
    <n v="0"/>
    <n v="3"/>
    <s v="No"/>
    <x v="1"/>
  </r>
  <r>
    <s v="EMP161"/>
    <n v="21"/>
    <s v="Female"/>
    <x v="4"/>
    <s v="Master"/>
    <n v="8"/>
    <n v="1600072"/>
    <x v="0"/>
    <x v="8"/>
    <x v="1"/>
    <n v="13"/>
    <n v="2"/>
    <s v="No"/>
    <x v="0"/>
  </r>
  <r>
    <s v="EMP162"/>
    <n v="44"/>
    <s v="Female"/>
    <x v="1"/>
    <s v="Bachelor"/>
    <n v="7"/>
    <n v="439054"/>
    <x v="2"/>
    <x v="0"/>
    <x v="1"/>
    <n v="54"/>
    <n v="5"/>
    <s v="No"/>
    <x v="0"/>
  </r>
  <r>
    <s v="EMP163"/>
    <n v="55"/>
    <s v="Female"/>
    <x v="4"/>
    <s v="MBA"/>
    <n v="12"/>
    <n v="465037"/>
    <x v="1"/>
    <x v="3"/>
    <x v="1"/>
    <n v="59"/>
    <n v="2"/>
    <s v="Yes"/>
    <x v="0"/>
  </r>
  <r>
    <s v="EMP164"/>
    <n v="48"/>
    <s v="Male"/>
    <x v="0"/>
    <s v="Diploma"/>
    <n v="2"/>
    <n v="664664"/>
    <x v="1"/>
    <x v="4"/>
    <x v="0"/>
    <n v="46"/>
    <n v="5"/>
    <s v="No"/>
    <x v="1"/>
  </r>
  <r>
    <s v="EMP165"/>
    <n v="52"/>
    <s v="Female"/>
    <x v="4"/>
    <s v="Master"/>
    <n v="10"/>
    <n v="746091"/>
    <x v="2"/>
    <x v="4"/>
    <x v="1"/>
    <n v="9"/>
    <n v="2"/>
    <s v="No"/>
    <x v="0"/>
  </r>
  <r>
    <s v="EMP166"/>
    <n v="43"/>
    <s v="Female"/>
    <x v="1"/>
    <s v="Diploma"/>
    <n v="2"/>
    <n v="443563"/>
    <x v="0"/>
    <x v="0"/>
    <x v="1"/>
    <n v="53"/>
    <n v="2"/>
    <s v="No"/>
    <x v="0"/>
  </r>
  <r>
    <s v="EMP167"/>
    <n v="33"/>
    <s v="Female"/>
    <x v="0"/>
    <s v="MBA"/>
    <n v="2"/>
    <n v="949990"/>
    <x v="2"/>
    <x v="5"/>
    <x v="1"/>
    <n v="39"/>
    <n v="3"/>
    <s v="No"/>
    <x v="0"/>
  </r>
  <r>
    <s v="EMP168"/>
    <n v="50"/>
    <s v="Male"/>
    <x v="2"/>
    <s v="MBA"/>
    <n v="2"/>
    <n v="653484"/>
    <x v="0"/>
    <x v="2"/>
    <x v="0"/>
    <n v="49"/>
    <n v="4"/>
    <s v="No"/>
    <x v="0"/>
  </r>
  <r>
    <s v="EMP169"/>
    <n v="38"/>
    <s v="Male"/>
    <x v="1"/>
    <s v="Master"/>
    <n v="3"/>
    <n v="517436"/>
    <x v="2"/>
    <x v="1"/>
    <x v="0"/>
    <n v="48"/>
    <n v="5"/>
    <s v="No"/>
    <x v="0"/>
  </r>
  <r>
    <s v="EMP170"/>
    <n v="36"/>
    <s v="Female"/>
    <x v="3"/>
    <s v="Bachelor"/>
    <n v="18"/>
    <n v="703832"/>
    <x v="1"/>
    <x v="2"/>
    <x v="0"/>
    <n v="14"/>
    <n v="4"/>
    <s v="No"/>
    <x v="0"/>
  </r>
  <r>
    <s v="EMP171"/>
    <n v="35"/>
    <s v="Male"/>
    <x v="1"/>
    <s v="MBA"/>
    <n v="13"/>
    <n v="641305"/>
    <x v="0"/>
    <x v="5"/>
    <x v="1"/>
    <n v="55"/>
    <n v="3"/>
    <s v="No"/>
    <x v="0"/>
  </r>
  <r>
    <s v="EMP172"/>
    <n v="41"/>
    <s v="Female"/>
    <x v="4"/>
    <s v="Master"/>
    <n v="20"/>
    <n v="1260761"/>
    <x v="1"/>
    <x v="4"/>
    <x v="1"/>
    <n v="15"/>
    <n v="3"/>
    <s v="Yes"/>
    <x v="0"/>
  </r>
  <r>
    <s v="EMP173"/>
    <n v="53"/>
    <s v="Male"/>
    <x v="1"/>
    <s v="Diploma"/>
    <n v="19"/>
    <n v="1543486"/>
    <x v="2"/>
    <x v="2"/>
    <x v="1"/>
    <n v="0"/>
    <n v="4"/>
    <s v="No"/>
    <x v="0"/>
  </r>
  <r>
    <s v="EMP174"/>
    <n v="23"/>
    <s v="Male"/>
    <x v="2"/>
    <s v="MBA"/>
    <n v="4"/>
    <n v="841928"/>
    <x v="1"/>
    <x v="8"/>
    <x v="1"/>
    <n v="22"/>
    <n v="1"/>
    <s v="Yes"/>
    <x v="0"/>
  </r>
  <r>
    <s v="EMP175"/>
    <n v="47"/>
    <s v="Female"/>
    <x v="1"/>
    <s v="Diploma"/>
    <n v="1"/>
    <n v="1534173"/>
    <x v="1"/>
    <x v="3"/>
    <x v="1"/>
    <n v="36"/>
    <n v="2"/>
    <s v="No"/>
    <x v="0"/>
  </r>
  <r>
    <s v="EMP176"/>
    <n v="26"/>
    <s v="Male"/>
    <x v="4"/>
    <s v="MBA"/>
    <n v="16"/>
    <n v="1260608"/>
    <x v="1"/>
    <x v="5"/>
    <x v="1"/>
    <n v="30"/>
    <n v="2"/>
    <s v="Yes"/>
    <x v="0"/>
  </r>
  <r>
    <s v="EMP177"/>
    <n v="59"/>
    <s v="Male"/>
    <x v="0"/>
    <s v="Bachelor"/>
    <n v="17"/>
    <n v="437553"/>
    <x v="1"/>
    <x v="7"/>
    <x v="1"/>
    <n v="7"/>
    <n v="4"/>
    <s v="No"/>
    <x v="0"/>
  </r>
  <r>
    <s v="EMP178"/>
    <n v="30"/>
    <s v="Male"/>
    <x v="0"/>
    <s v="MBA"/>
    <n v="9"/>
    <n v="941406"/>
    <x v="2"/>
    <x v="0"/>
    <x v="1"/>
    <n v="42"/>
    <n v="3"/>
    <s v="No"/>
    <x v="0"/>
  </r>
  <r>
    <s v="EMP179"/>
    <n v="21"/>
    <s v="Male"/>
    <x v="1"/>
    <s v="Diploma"/>
    <n v="12"/>
    <n v="1527344"/>
    <x v="0"/>
    <x v="5"/>
    <x v="1"/>
    <n v="37"/>
    <n v="1"/>
    <s v="Yes"/>
    <x v="0"/>
  </r>
  <r>
    <s v="EMP180"/>
    <n v="24"/>
    <s v="Female"/>
    <x v="2"/>
    <s v="Master"/>
    <n v="9"/>
    <n v="1000317"/>
    <x v="1"/>
    <x v="6"/>
    <x v="1"/>
    <n v="5"/>
    <n v="1"/>
    <s v="No"/>
    <x v="0"/>
  </r>
  <r>
    <s v="EMP181"/>
    <n v="37"/>
    <s v="Male"/>
    <x v="2"/>
    <s v="Diploma"/>
    <n v="20"/>
    <n v="1534591"/>
    <x v="0"/>
    <x v="2"/>
    <x v="0"/>
    <n v="21"/>
    <n v="2"/>
    <s v="No"/>
    <x v="0"/>
  </r>
  <r>
    <s v="EMP182"/>
    <n v="21"/>
    <s v="Male"/>
    <x v="4"/>
    <s v="MBA"/>
    <n v="2"/>
    <n v="1677541"/>
    <x v="1"/>
    <x v="4"/>
    <x v="1"/>
    <n v="6"/>
    <n v="4"/>
    <s v="No"/>
    <x v="0"/>
  </r>
  <r>
    <s v="EMP183"/>
    <n v="24"/>
    <s v="Female"/>
    <x v="4"/>
    <s v="MBA"/>
    <n v="4"/>
    <n v="1421541"/>
    <x v="0"/>
    <x v="1"/>
    <x v="0"/>
    <n v="59"/>
    <n v="2"/>
    <s v="Yes"/>
    <x v="0"/>
  </r>
  <r>
    <s v="EMP184"/>
    <n v="23"/>
    <s v="Female"/>
    <x v="2"/>
    <s v="Bachelor"/>
    <n v="4"/>
    <n v="772266"/>
    <x v="1"/>
    <x v="5"/>
    <x v="1"/>
    <n v="46"/>
    <n v="5"/>
    <s v="No"/>
    <x v="0"/>
  </r>
  <r>
    <s v="EMP185"/>
    <n v="37"/>
    <s v="Female"/>
    <x v="4"/>
    <s v="Master"/>
    <n v="12"/>
    <n v="1582077"/>
    <x v="0"/>
    <x v="8"/>
    <x v="0"/>
    <n v="50"/>
    <n v="3"/>
    <s v="No"/>
    <x v="0"/>
  </r>
  <r>
    <s v="EMP186"/>
    <n v="27"/>
    <s v="Male"/>
    <x v="4"/>
    <s v="MBA"/>
    <n v="12"/>
    <n v="1655235"/>
    <x v="2"/>
    <x v="4"/>
    <x v="1"/>
    <n v="7"/>
    <n v="5"/>
    <s v="No"/>
    <x v="0"/>
  </r>
  <r>
    <s v="EMP187"/>
    <n v="51"/>
    <s v="Female"/>
    <x v="4"/>
    <s v="Master"/>
    <n v="18"/>
    <n v="586110"/>
    <x v="1"/>
    <x v="0"/>
    <x v="1"/>
    <n v="59"/>
    <n v="2"/>
    <s v="Yes"/>
    <x v="0"/>
  </r>
  <r>
    <s v="EMP188"/>
    <n v="54"/>
    <s v="Male"/>
    <x v="0"/>
    <s v="Master"/>
    <n v="10"/>
    <n v="926898"/>
    <x v="0"/>
    <x v="1"/>
    <x v="0"/>
    <n v="35"/>
    <n v="2"/>
    <s v="No"/>
    <x v="0"/>
  </r>
  <r>
    <s v="EMP189"/>
    <n v="38"/>
    <s v="Female"/>
    <x v="2"/>
    <s v="MBA"/>
    <n v="10"/>
    <n v="995747"/>
    <x v="1"/>
    <x v="3"/>
    <x v="0"/>
    <n v="10"/>
    <n v="5"/>
    <s v="No"/>
    <x v="0"/>
  </r>
  <r>
    <s v="EMP190"/>
    <n v="40"/>
    <s v="Female"/>
    <x v="3"/>
    <s v="Diploma"/>
    <n v="9"/>
    <n v="1402134"/>
    <x v="0"/>
    <x v="6"/>
    <x v="0"/>
    <n v="43"/>
    <n v="1"/>
    <s v="No"/>
    <x v="1"/>
  </r>
  <r>
    <s v="EMP191"/>
    <n v="28"/>
    <s v="Female"/>
    <x v="1"/>
    <s v="Bachelor"/>
    <n v="12"/>
    <n v="1664105"/>
    <x v="0"/>
    <x v="8"/>
    <x v="1"/>
    <n v="28"/>
    <n v="3"/>
    <s v="No"/>
    <x v="0"/>
  </r>
  <r>
    <s v="EMP192"/>
    <n v="54"/>
    <s v="Female"/>
    <x v="1"/>
    <s v="Master"/>
    <n v="12"/>
    <n v="518245"/>
    <x v="2"/>
    <x v="4"/>
    <x v="1"/>
    <n v="22"/>
    <n v="2"/>
    <s v="Yes"/>
    <x v="0"/>
  </r>
  <r>
    <s v="EMP193"/>
    <n v="26"/>
    <s v="Female"/>
    <x v="2"/>
    <s v="Master"/>
    <n v="14"/>
    <n v="565128"/>
    <x v="0"/>
    <x v="3"/>
    <x v="1"/>
    <n v="29"/>
    <n v="3"/>
    <s v="No"/>
    <x v="0"/>
  </r>
  <r>
    <s v="EMP194"/>
    <n v="37"/>
    <s v="Female"/>
    <x v="1"/>
    <s v="MBA"/>
    <n v="1"/>
    <n v="1425235"/>
    <x v="0"/>
    <x v="6"/>
    <x v="1"/>
    <n v="19"/>
    <n v="1"/>
    <s v="No"/>
    <x v="0"/>
  </r>
  <r>
    <s v="EMP195"/>
    <n v="56"/>
    <s v="Male"/>
    <x v="0"/>
    <s v="Diploma"/>
    <n v="14"/>
    <n v="534316"/>
    <x v="2"/>
    <x v="3"/>
    <x v="0"/>
    <n v="17"/>
    <n v="2"/>
    <s v="No"/>
    <x v="0"/>
  </r>
  <r>
    <s v="EMP196"/>
    <n v="46"/>
    <s v="Female"/>
    <x v="2"/>
    <s v="Diploma"/>
    <n v="9"/>
    <n v="1528340"/>
    <x v="0"/>
    <x v="4"/>
    <x v="0"/>
    <n v="32"/>
    <n v="1"/>
    <s v="No"/>
    <x v="1"/>
  </r>
  <r>
    <s v="EMP197"/>
    <n v="27"/>
    <s v="Female"/>
    <x v="1"/>
    <s v="Master"/>
    <n v="13"/>
    <n v="1561811"/>
    <x v="1"/>
    <x v="3"/>
    <x v="1"/>
    <n v="8"/>
    <n v="4"/>
    <s v="No"/>
    <x v="0"/>
  </r>
  <r>
    <s v="EMP198"/>
    <n v="43"/>
    <s v="Female"/>
    <x v="4"/>
    <s v="Bachelor"/>
    <n v="11"/>
    <n v="1448231"/>
    <x v="1"/>
    <x v="3"/>
    <x v="0"/>
    <n v="51"/>
    <n v="1"/>
    <s v="Yes"/>
    <x v="0"/>
  </r>
  <r>
    <s v="EMP199"/>
    <n v="41"/>
    <s v="Male"/>
    <x v="2"/>
    <s v="MBA"/>
    <n v="12"/>
    <n v="1253680"/>
    <x v="1"/>
    <x v="7"/>
    <x v="0"/>
    <n v="42"/>
    <n v="5"/>
    <s v="Yes"/>
    <x v="1"/>
  </r>
  <r>
    <s v="EMP200"/>
    <n v="60"/>
    <s v="Male"/>
    <x v="1"/>
    <s v="MBA"/>
    <n v="6"/>
    <n v="1240435"/>
    <x v="0"/>
    <x v="7"/>
    <x v="1"/>
    <n v="41"/>
    <n v="2"/>
    <s v="No"/>
    <x v="0"/>
  </r>
  <r>
    <s v="EMP201"/>
    <n v="27"/>
    <s v="Female"/>
    <x v="3"/>
    <s v="Master"/>
    <n v="18"/>
    <n v="1460794"/>
    <x v="2"/>
    <x v="0"/>
    <x v="1"/>
    <n v="50"/>
    <n v="2"/>
    <s v="No"/>
    <x v="0"/>
  </r>
  <r>
    <s v="EMP202"/>
    <n v="53"/>
    <s v="Male"/>
    <x v="0"/>
    <s v="MBA"/>
    <n v="11"/>
    <n v="1518951"/>
    <x v="1"/>
    <x v="1"/>
    <x v="1"/>
    <n v="19"/>
    <n v="5"/>
    <s v="Yes"/>
    <x v="0"/>
  </r>
  <r>
    <s v="EMP203"/>
    <n v="32"/>
    <s v="Female"/>
    <x v="3"/>
    <s v="MBA"/>
    <n v="0"/>
    <n v="401877"/>
    <x v="2"/>
    <x v="5"/>
    <x v="1"/>
    <n v="49"/>
    <n v="3"/>
    <s v="No"/>
    <x v="0"/>
  </r>
  <r>
    <s v="EMP204"/>
    <n v="43"/>
    <s v="Male"/>
    <x v="2"/>
    <s v="Bachelor"/>
    <n v="10"/>
    <n v="947061"/>
    <x v="0"/>
    <x v="8"/>
    <x v="1"/>
    <n v="7"/>
    <n v="1"/>
    <s v="Yes"/>
    <x v="0"/>
  </r>
  <r>
    <s v="EMP205"/>
    <n v="42"/>
    <s v="Male"/>
    <x v="1"/>
    <s v="Master"/>
    <n v="9"/>
    <n v="1055649"/>
    <x v="2"/>
    <x v="8"/>
    <x v="1"/>
    <n v="19"/>
    <n v="1"/>
    <s v="Yes"/>
    <x v="0"/>
  </r>
  <r>
    <s v="EMP206"/>
    <n v="44"/>
    <s v="Female"/>
    <x v="4"/>
    <s v="Master"/>
    <n v="9"/>
    <n v="1647685"/>
    <x v="1"/>
    <x v="6"/>
    <x v="1"/>
    <n v="24"/>
    <n v="5"/>
    <s v="No"/>
    <x v="0"/>
  </r>
  <r>
    <s v="EMP207"/>
    <n v="27"/>
    <s v="Female"/>
    <x v="0"/>
    <s v="MBA"/>
    <n v="17"/>
    <n v="998860"/>
    <x v="1"/>
    <x v="2"/>
    <x v="1"/>
    <n v="5"/>
    <n v="5"/>
    <s v="No"/>
    <x v="0"/>
  </r>
  <r>
    <s v="EMP208"/>
    <n v="32"/>
    <s v="Male"/>
    <x v="2"/>
    <s v="Diploma"/>
    <n v="18"/>
    <n v="340628"/>
    <x v="0"/>
    <x v="4"/>
    <x v="0"/>
    <n v="3"/>
    <n v="5"/>
    <s v="No"/>
    <x v="1"/>
  </r>
  <r>
    <s v="EMP209"/>
    <n v="56"/>
    <s v="Male"/>
    <x v="2"/>
    <s v="Master"/>
    <n v="10"/>
    <n v="1284025"/>
    <x v="0"/>
    <x v="0"/>
    <x v="1"/>
    <n v="49"/>
    <n v="5"/>
    <s v="Yes"/>
    <x v="0"/>
  </r>
  <r>
    <s v="EMP210"/>
    <n v="27"/>
    <s v="Male"/>
    <x v="3"/>
    <s v="Diploma"/>
    <n v="18"/>
    <n v="552327"/>
    <x v="2"/>
    <x v="3"/>
    <x v="1"/>
    <n v="35"/>
    <n v="3"/>
    <s v="No"/>
    <x v="0"/>
  </r>
  <r>
    <s v="EMP211"/>
    <n v="58"/>
    <s v="Female"/>
    <x v="3"/>
    <s v="Master"/>
    <n v="2"/>
    <n v="944953"/>
    <x v="0"/>
    <x v="7"/>
    <x v="1"/>
    <n v="40"/>
    <n v="4"/>
    <s v="No"/>
    <x v="0"/>
  </r>
  <r>
    <s v="EMP212"/>
    <n v="30"/>
    <s v="Female"/>
    <x v="4"/>
    <s v="Diploma"/>
    <n v="10"/>
    <n v="1791845"/>
    <x v="1"/>
    <x v="7"/>
    <x v="1"/>
    <n v="54"/>
    <n v="3"/>
    <s v="No"/>
    <x v="0"/>
  </r>
  <r>
    <s v="EMP213"/>
    <n v="22"/>
    <s v="Male"/>
    <x v="3"/>
    <s v="Bachelor"/>
    <n v="16"/>
    <n v="1584367"/>
    <x v="0"/>
    <x v="0"/>
    <x v="1"/>
    <n v="55"/>
    <n v="3"/>
    <s v="Yes"/>
    <x v="0"/>
  </r>
  <r>
    <s v="EMP214"/>
    <n v="28"/>
    <s v="Female"/>
    <x v="2"/>
    <s v="Diploma"/>
    <n v="19"/>
    <n v="990415"/>
    <x v="2"/>
    <x v="2"/>
    <x v="1"/>
    <n v="22"/>
    <n v="3"/>
    <s v="Yes"/>
    <x v="0"/>
  </r>
  <r>
    <s v="EMP215"/>
    <n v="54"/>
    <s v="Male"/>
    <x v="2"/>
    <s v="Bachelor"/>
    <n v="16"/>
    <n v="404612"/>
    <x v="1"/>
    <x v="8"/>
    <x v="0"/>
    <n v="38"/>
    <n v="3"/>
    <s v="Yes"/>
    <x v="0"/>
  </r>
  <r>
    <s v="EMP216"/>
    <n v="31"/>
    <s v="Male"/>
    <x v="1"/>
    <s v="Bachelor"/>
    <n v="14"/>
    <n v="1769028"/>
    <x v="2"/>
    <x v="5"/>
    <x v="1"/>
    <n v="32"/>
    <n v="5"/>
    <s v="No"/>
    <x v="0"/>
  </r>
  <r>
    <s v="EMP217"/>
    <n v="43"/>
    <s v="Female"/>
    <x v="3"/>
    <s v="Bachelor"/>
    <n v="20"/>
    <n v="1218435"/>
    <x v="1"/>
    <x v="8"/>
    <x v="1"/>
    <n v="50"/>
    <n v="1"/>
    <s v="No"/>
    <x v="0"/>
  </r>
  <r>
    <s v="EMP218"/>
    <n v="55"/>
    <s v="Female"/>
    <x v="4"/>
    <s v="MBA"/>
    <n v="6"/>
    <n v="1691691"/>
    <x v="0"/>
    <x v="4"/>
    <x v="0"/>
    <n v="13"/>
    <n v="2"/>
    <s v="Yes"/>
    <x v="1"/>
  </r>
  <r>
    <s v="EMP219"/>
    <n v="57"/>
    <s v="Female"/>
    <x v="3"/>
    <s v="Master"/>
    <n v="5"/>
    <n v="1461991"/>
    <x v="1"/>
    <x v="9"/>
    <x v="1"/>
    <n v="14"/>
    <n v="5"/>
    <s v="No"/>
    <x v="0"/>
  </r>
  <r>
    <s v="EMP220"/>
    <n v="59"/>
    <s v="Male"/>
    <x v="2"/>
    <s v="Master"/>
    <n v="5"/>
    <n v="482151"/>
    <x v="2"/>
    <x v="1"/>
    <x v="1"/>
    <n v="27"/>
    <n v="2"/>
    <s v="Yes"/>
    <x v="0"/>
  </r>
  <r>
    <s v="EMP221"/>
    <n v="58"/>
    <s v="Male"/>
    <x v="0"/>
    <s v="Diploma"/>
    <n v="9"/>
    <n v="359925"/>
    <x v="2"/>
    <x v="3"/>
    <x v="1"/>
    <n v="50"/>
    <n v="4"/>
    <s v="Yes"/>
    <x v="1"/>
  </r>
  <r>
    <s v="EMP222"/>
    <n v="32"/>
    <s v="Male"/>
    <x v="2"/>
    <s v="Bachelor"/>
    <n v="16"/>
    <n v="1717812"/>
    <x v="0"/>
    <x v="8"/>
    <x v="1"/>
    <n v="53"/>
    <n v="3"/>
    <s v="Yes"/>
    <x v="0"/>
  </r>
  <r>
    <s v="EMP223"/>
    <n v="40"/>
    <s v="Female"/>
    <x v="4"/>
    <s v="Bachelor"/>
    <n v="11"/>
    <n v="1222298"/>
    <x v="2"/>
    <x v="1"/>
    <x v="1"/>
    <n v="56"/>
    <n v="3"/>
    <s v="Yes"/>
    <x v="0"/>
  </r>
  <r>
    <s v="EMP224"/>
    <n v="24"/>
    <s v="Male"/>
    <x v="3"/>
    <s v="Diploma"/>
    <n v="11"/>
    <n v="902708"/>
    <x v="0"/>
    <x v="5"/>
    <x v="1"/>
    <n v="32"/>
    <n v="4"/>
    <s v="Yes"/>
    <x v="0"/>
  </r>
  <r>
    <s v="EMP225"/>
    <n v="52"/>
    <s v="Female"/>
    <x v="3"/>
    <s v="MBA"/>
    <n v="12"/>
    <n v="1499198"/>
    <x v="0"/>
    <x v="1"/>
    <x v="0"/>
    <n v="15"/>
    <n v="1"/>
    <s v="No"/>
    <x v="0"/>
  </r>
  <r>
    <s v="EMP226"/>
    <n v="34"/>
    <s v="Male"/>
    <x v="4"/>
    <s v="Master"/>
    <n v="18"/>
    <n v="1216636"/>
    <x v="1"/>
    <x v="2"/>
    <x v="1"/>
    <n v="12"/>
    <n v="1"/>
    <s v="No"/>
    <x v="0"/>
  </r>
  <r>
    <s v="EMP227"/>
    <n v="56"/>
    <s v="Female"/>
    <x v="3"/>
    <s v="Master"/>
    <n v="0"/>
    <n v="654973"/>
    <x v="2"/>
    <x v="9"/>
    <x v="1"/>
    <n v="23"/>
    <n v="4"/>
    <s v="No"/>
    <x v="0"/>
  </r>
  <r>
    <s v="EMP228"/>
    <n v="45"/>
    <s v="Female"/>
    <x v="1"/>
    <s v="MBA"/>
    <n v="8"/>
    <n v="1439232"/>
    <x v="0"/>
    <x v="9"/>
    <x v="0"/>
    <n v="42"/>
    <n v="3"/>
    <s v="No"/>
    <x v="1"/>
  </r>
  <r>
    <s v="EMP229"/>
    <n v="31"/>
    <s v="Female"/>
    <x v="0"/>
    <s v="MBA"/>
    <n v="18"/>
    <n v="1061768"/>
    <x v="2"/>
    <x v="5"/>
    <x v="0"/>
    <n v="38"/>
    <n v="3"/>
    <s v="No"/>
    <x v="0"/>
  </r>
  <r>
    <s v="EMP230"/>
    <n v="31"/>
    <s v="Male"/>
    <x v="2"/>
    <s v="Bachelor"/>
    <n v="10"/>
    <n v="1699309"/>
    <x v="0"/>
    <x v="4"/>
    <x v="0"/>
    <n v="60"/>
    <n v="4"/>
    <s v="No"/>
    <x v="1"/>
  </r>
  <r>
    <s v="EMP231"/>
    <n v="32"/>
    <s v="Male"/>
    <x v="1"/>
    <s v="MBA"/>
    <n v="14"/>
    <n v="251166"/>
    <x v="2"/>
    <x v="6"/>
    <x v="1"/>
    <n v="13"/>
    <n v="4"/>
    <s v="No"/>
    <x v="1"/>
  </r>
  <r>
    <s v="EMP232"/>
    <n v="29"/>
    <s v="Male"/>
    <x v="4"/>
    <s v="MBA"/>
    <n v="17"/>
    <n v="1350462"/>
    <x v="1"/>
    <x v="3"/>
    <x v="1"/>
    <n v="20"/>
    <n v="3"/>
    <s v="No"/>
    <x v="0"/>
  </r>
  <r>
    <s v="EMP233"/>
    <n v="25"/>
    <s v="Female"/>
    <x v="1"/>
    <s v="Master"/>
    <n v="20"/>
    <n v="1705329"/>
    <x v="2"/>
    <x v="6"/>
    <x v="0"/>
    <n v="44"/>
    <n v="4"/>
    <s v="No"/>
    <x v="1"/>
  </r>
  <r>
    <s v="EMP234"/>
    <n v="23"/>
    <s v="Female"/>
    <x v="3"/>
    <s v="Diploma"/>
    <n v="11"/>
    <n v="765686"/>
    <x v="1"/>
    <x v="0"/>
    <x v="1"/>
    <n v="4"/>
    <n v="1"/>
    <s v="Yes"/>
    <x v="0"/>
  </r>
  <r>
    <s v="EMP235"/>
    <n v="35"/>
    <s v="Male"/>
    <x v="4"/>
    <s v="Diploma"/>
    <n v="4"/>
    <n v="534501"/>
    <x v="2"/>
    <x v="9"/>
    <x v="1"/>
    <n v="58"/>
    <n v="4"/>
    <s v="No"/>
    <x v="0"/>
  </r>
  <r>
    <s v="EMP236"/>
    <n v="47"/>
    <s v="Male"/>
    <x v="3"/>
    <s v="MBA"/>
    <n v="5"/>
    <n v="1660020"/>
    <x v="0"/>
    <x v="6"/>
    <x v="1"/>
    <n v="24"/>
    <n v="5"/>
    <s v="No"/>
    <x v="0"/>
  </r>
  <r>
    <s v="EMP237"/>
    <n v="51"/>
    <s v="Female"/>
    <x v="4"/>
    <s v="Master"/>
    <n v="20"/>
    <n v="1427469"/>
    <x v="0"/>
    <x v="2"/>
    <x v="1"/>
    <n v="45"/>
    <n v="1"/>
    <s v="No"/>
    <x v="0"/>
  </r>
  <r>
    <s v="EMP238"/>
    <n v="29"/>
    <s v="Male"/>
    <x v="2"/>
    <s v="Diploma"/>
    <n v="10"/>
    <n v="291387"/>
    <x v="2"/>
    <x v="2"/>
    <x v="1"/>
    <n v="44"/>
    <n v="4"/>
    <s v="No"/>
    <x v="0"/>
  </r>
  <r>
    <s v="EMP239"/>
    <n v="53"/>
    <s v="Male"/>
    <x v="4"/>
    <s v="Diploma"/>
    <n v="20"/>
    <n v="527657"/>
    <x v="0"/>
    <x v="7"/>
    <x v="0"/>
    <n v="45"/>
    <n v="4"/>
    <s v="Yes"/>
    <x v="1"/>
  </r>
  <r>
    <s v="EMP240"/>
    <n v="40"/>
    <s v="Male"/>
    <x v="2"/>
    <s v="MBA"/>
    <n v="1"/>
    <n v="796944"/>
    <x v="0"/>
    <x v="8"/>
    <x v="0"/>
    <n v="48"/>
    <n v="3"/>
    <s v="No"/>
    <x v="1"/>
  </r>
  <r>
    <s v="EMP241"/>
    <n v="32"/>
    <s v="Male"/>
    <x v="3"/>
    <s v="Bachelor"/>
    <n v="15"/>
    <n v="539930"/>
    <x v="0"/>
    <x v="5"/>
    <x v="1"/>
    <n v="2"/>
    <n v="4"/>
    <s v="Yes"/>
    <x v="0"/>
  </r>
  <r>
    <s v="EMP242"/>
    <n v="29"/>
    <s v="Female"/>
    <x v="3"/>
    <s v="Bachelor"/>
    <n v="4"/>
    <n v="1091535"/>
    <x v="0"/>
    <x v="1"/>
    <x v="0"/>
    <n v="9"/>
    <n v="5"/>
    <s v="No"/>
    <x v="0"/>
  </r>
  <r>
    <s v="EMP243"/>
    <n v="35"/>
    <s v="Male"/>
    <x v="4"/>
    <s v="Diploma"/>
    <n v="19"/>
    <n v="1752323"/>
    <x v="1"/>
    <x v="1"/>
    <x v="0"/>
    <n v="9"/>
    <n v="4"/>
    <s v="Yes"/>
    <x v="0"/>
  </r>
  <r>
    <s v="EMP244"/>
    <n v="60"/>
    <s v="Male"/>
    <x v="1"/>
    <s v="MBA"/>
    <n v="7"/>
    <n v="1662463"/>
    <x v="1"/>
    <x v="3"/>
    <x v="1"/>
    <n v="37"/>
    <n v="5"/>
    <s v="Yes"/>
    <x v="0"/>
  </r>
  <r>
    <s v="EMP245"/>
    <n v="35"/>
    <s v="Male"/>
    <x v="4"/>
    <s v="Bachelor"/>
    <n v="12"/>
    <n v="655490"/>
    <x v="2"/>
    <x v="1"/>
    <x v="1"/>
    <n v="32"/>
    <n v="1"/>
    <s v="No"/>
    <x v="0"/>
  </r>
  <r>
    <s v="EMP246"/>
    <n v="21"/>
    <s v="Male"/>
    <x v="3"/>
    <s v="Diploma"/>
    <n v="10"/>
    <n v="1667238"/>
    <x v="1"/>
    <x v="1"/>
    <x v="1"/>
    <n v="7"/>
    <n v="3"/>
    <s v="No"/>
    <x v="0"/>
  </r>
  <r>
    <s v="EMP247"/>
    <n v="44"/>
    <s v="Female"/>
    <x v="0"/>
    <s v="Bachelor"/>
    <n v="4"/>
    <n v="617545"/>
    <x v="2"/>
    <x v="0"/>
    <x v="0"/>
    <n v="6"/>
    <n v="1"/>
    <s v="Yes"/>
    <x v="0"/>
  </r>
  <r>
    <s v="EMP248"/>
    <n v="38"/>
    <s v="Female"/>
    <x v="1"/>
    <s v="Diploma"/>
    <n v="10"/>
    <n v="475579"/>
    <x v="1"/>
    <x v="9"/>
    <x v="0"/>
    <n v="14"/>
    <n v="5"/>
    <s v="No"/>
    <x v="1"/>
  </r>
  <r>
    <s v="EMP249"/>
    <n v="29"/>
    <s v="Female"/>
    <x v="4"/>
    <s v="Master"/>
    <n v="13"/>
    <n v="1598861"/>
    <x v="2"/>
    <x v="1"/>
    <x v="1"/>
    <n v="33"/>
    <n v="4"/>
    <s v="No"/>
    <x v="0"/>
  </r>
  <r>
    <s v="EMP250"/>
    <n v="24"/>
    <s v="Male"/>
    <x v="1"/>
    <s v="Bachelor"/>
    <n v="19"/>
    <n v="1472452"/>
    <x v="0"/>
    <x v="4"/>
    <x v="1"/>
    <n v="12"/>
    <n v="1"/>
    <s v="No"/>
    <x v="0"/>
  </r>
  <r>
    <s v="EMP251"/>
    <n v="57"/>
    <s v="Male"/>
    <x v="2"/>
    <s v="Bachelor"/>
    <n v="4"/>
    <n v="587645"/>
    <x v="0"/>
    <x v="8"/>
    <x v="1"/>
    <n v="32"/>
    <n v="1"/>
    <s v="No"/>
    <x v="0"/>
  </r>
  <r>
    <s v="EMP252"/>
    <n v="30"/>
    <s v="Male"/>
    <x v="0"/>
    <s v="MBA"/>
    <n v="14"/>
    <n v="685014"/>
    <x v="1"/>
    <x v="0"/>
    <x v="0"/>
    <n v="5"/>
    <n v="4"/>
    <s v="Yes"/>
    <x v="0"/>
  </r>
  <r>
    <s v="EMP253"/>
    <n v="45"/>
    <s v="Female"/>
    <x v="1"/>
    <s v="Bachelor"/>
    <n v="8"/>
    <n v="1481051"/>
    <x v="1"/>
    <x v="8"/>
    <x v="0"/>
    <n v="16"/>
    <n v="3"/>
    <s v="Yes"/>
    <x v="0"/>
  </r>
  <r>
    <s v="EMP254"/>
    <n v="29"/>
    <s v="Female"/>
    <x v="3"/>
    <s v="Bachelor"/>
    <n v="10"/>
    <n v="258145"/>
    <x v="1"/>
    <x v="7"/>
    <x v="0"/>
    <n v="39"/>
    <n v="3"/>
    <s v="Yes"/>
    <x v="1"/>
  </r>
  <r>
    <s v="EMP255"/>
    <n v="36"/>
    <s v="Male"/>
    <x v="1"/>
    <s v="MBA"/>
    <n v="6"/>
    <n v="1535031"/>
    <x v="0"/>
    <x v="3"/>
    <x v="1"/>
    <n v="33"/>
    <n v="1"/>
    <s v="Yes"/>
    <x v="0"/>
  </r>
  <r>
    <s v="EMP256"/>
    <n v="51"/>
    <s v="Male"/>
    <x v="0"/>
    <s v="Bachelor"/>
    <n v="7"/>
    <n v="260539"/>
    <x v="0"/>
    <x v="8"/>
    <x v="1"/>
    <n v="57"/>
    <n v="3"/>
    <s v="No"/>
    <x v="0"/>
  </r>
  <r>
    <s v="EMP257"/>
    <n v="41"/>
    <s v="Male"/>
    <x v="4"/>
    <s v="Bachelor"/>
    <n v="14"/>
    <n v="313704"/>
    <x v="1"/>
    <x v="0"/>
    <x v="1"/>
    <n v="11"/>
    <n v="1"/>
    <s v="Yes"/>
    <x v="0"/>
  </r>
  <r>
    <s v="EMP258"/>
    <n v="43"/>
    <s v="Male"/>
    <x v="4"/>
    <s v="Bachelor"/>
    <n v="5"/>
    <n v="1111651"/>
    <x v="1"/>
    <x v="4"/>
    <x v="1"/>
    <n v="60"/>
    <n v="3"/>
    <s v="No"/>
    <x v="0"/>
  </r>
  <r>
    <s v="EMP259"/>
    <n v="35"/>
    <s v="Female"/>
    <x v="2"/>
    <s v="Master"/>
    <n v="15"/>
    <n v="1337702"/>
    <x v="0"/>
    <x v="4"/>
    <x v="1"/>
    <n v="22"/>
    <n v="3"/>
    <s v="No"/>
    <x v="0"/>
  </r>
  <r>
    <s v="EMP260"/>
    <n v="36"/>
    <s v="Male"/>
    <x v="1"/>
    <s v="Bachelor"/>
    <n v="13"/>
    <n v="1674508"/>
    <x v="2"/>
    <x v="7"/>
    <x v="0"/>
    <n v="59"/>
    <n v="1"/>
    <s v="No"/>
    <x v="1"/>
  </r>
  <r>
    <s v="EMP261"/>
    <n v="51"/>
    <s v="Female"/>
    <x v="0"/>
    <s v="Master"/>
    <n v="3"/>
    <n v="969210"/>
    <x v="1"/>
    <x v="0"/>
    <x v="1"/>
    <n v="18"/>
    <n v="3"/>
    <s v="No"/>
    <x v="0"/>
  </r>
  <r>
    <s v="EMP262"/>
    <n v="24"/>
    <s v="Female"/>
    <x v="2"/>
    <s v="Bachelor"/>
    <n v="13"/>
    <n v="943656"/>
    <x v="2"/>
    <x v="1"/>
    <x v="1"/>
    <n v="2"/>
    <n v="2"/>
    <s v="No"/>
    <x v="0"/>
  </r>
  <r>
    <s v="EMP263"/>
    <n v="21"/>
    <s v="Male"/>
    <x v="2"/>
    <s v="Master"/>
    <n v="10"/>
    <n v="1050540"/>
    <x v="0"/>
    <x v="6"/>
    <x v="1"/>
    <n v="45"/>
    <n v="1"/>
    <s v="No"/>
    <x v="0"/>
  </r>
  <r>
    <s v="EMP264"/>
    <n v="52"/>
    <s v="Male"/>
    <x v="4"/>
    <s v="MBA"/>
    <n v="3"/>
    <n v="1427393"/>
    <x v="2"/>
    <x v="0"/>
    <x v="1"/>
    <n v="37"/>
    <n v="4"/>
    <s v="No"/>
    <x v="0"/>
  </r>
  <r>
    <s v="EMP265"/>
    <n v="41"/>
    <s v="Female"/>
    <x v="2"/>
    <s v="Diploma"/>
    <n v="6"/>
    <n v="1019749"/>
    <x v="2"/>
    <x v="1"/>
    <x v="1"/>
    <n v="52"/>
    <n v="2"/>
    <s v="No"/>
    <x v="0"/>
  </r>
  <r>
    <s v="EMP266"/>
    <n v="59"/>
    <s v="Male"/>
    <x v="4"/>
    <s v="Bachelor"/>
    <n v="14"/>
    <n v="678364"/>
    <x v="0"/>
    <x v="3"/>
    <x v="1"/>
    <n v="10"/>
    <n v="4"/>
    <s v="Yes"/>
    <x v="0"/>
  </r>
  <r>
    <s v="EMP267"/>
    <n v="37"/>
    <s v="Female"/>
    <x v="0"/>
    <s v="Master"/>
    <n v="6"/>
    <n v="1589626"/>
    <x v="0"/>
    <x v="5"/>
    <x v="0"/>
    <n v="27"/>
    <n v="1"/>
    <s v="No"/>
    <x v="0"/>
  </r>
  <r>
    <s v="EMP268"/>
    <n v="55"/>
    <s v="Male"/>
    <x v="3"/>
    <s v="Diploma"/>
    <n v="9"/>
    <n v="1071938"/>
    <x v="2"/>
    <x v="2"/>
    <x v="0"/>
    <n v="29"/>
    <n v="5"/>
    <s v="Yes"/>
    <x v="0"/>
  </r>
  <r>
    <s v="EMP269"/>
    <n v="50"/>
    <s v="Male"/>
    <x v="4"/>
    <s v="Diploma"/>
    <n v="17"/>
    <n v="1068461"/>
    <x v="2"/>
    <x v="5"/>
    <x v="0"/>
    <n v="45"/>
    <n v="2"/>
    <s v="No"/>
    <x v="0"/>
  </r>
  <r>
    <s v="EMP270"/>
    <n v="51"/>
    <s v="Male"/>
    <x v="3"/>
    <s v="Master"/>
    <n v="2"/>
    <n v="1503172"/>
    <x v="0"/>
    <x v="0"/>
    <x v="1"/>
    <n v="1"/>
    <n v="1"/>
    <s v="No"/>
    <x v="0"/>
  </r>
  <r>
    <s v="EMP271"/>
    <n v="24"/>
    <s v="Female"/>
    <x v="4"/>
    <s v="Diploma"/>
    <n v="18"/>
    <n v="1470248"/>
    <x v="2"/>
    <x v="0"/>
    <x v="1"/>
    <n v="59"/>
    <n v="5"/>
    <s v="No"/>
    <x v="0"/>
  </r>
  <r>
    <s v="EMP272"/>
    <n v="43"/>
    <s v="Male"/>
    <x v="2"/>
    <s v="MBA"/>
    <n v="20"/>
    <n v="1488656"/>
    <x v="0"/>
    <x v="8"/>
    <x v="1"/>
    <n v="11"/>
    <n v="2"/>
    <s v="No"/>
    <x v="0"/>
  </r>
  <r>
    <s v="EMP273"/>
    <n v="52"/>
    <s v="Male"/>
    <x v="1"/>
    <s v="MBA"/>
    <n v="15"/>
    <n v="1207658"/>
    <x v="2"/>
    <x v="6"/>
    <x v="0"/>
    <n v="1"/>
    <n v="4"/>
    <s v="Yes"/>
    <x v="1"/>
  </r>
  <r>
    <s v="EMP274"/>
    <n v="26"/>
    <s v="Male"/>
    <x v="4"/>
    <s v="Bachelor"/>
    <n v="16"/>
    <n v="1451227"/>
    <x v="1"/>
    <x v="9"/>
    <x v="1"/>
    <n v="5"/>
    <n v="4"/>
    <s v="No"/>
    <x v="0"/>
  </r>
  <r>
    <s v="EMP275"/>
    <n v="24"/>
    <s v="Male"/>
    <x v="4"/>
    <s v="Bachelor"/>
    <n v="10"/>
    <n v="1564990"/>
    <x v="0"/>
    <x v="2"/>
    <x v="1"/>
    <n v="0"/>
    <n v="4"/>
    <s v="No"/>
    <x v="0"/>
  </r>
  <r>
    <s v="EMP276"/>
    <n v="27"/>
    <s v="Male"/>
    <x v="1"/>
    <s v="Diploma"/>
    <n v="1"/>
    <n v="651025"/>
    <x v="0"/>
    <x v="1"/>
    <x v="0"/>
    <n v="26"/>
    <n v="4"/>
    <s v="No"/>
    <x v="1"/>
  </r>
  <r>
    <s v="EMP277"/>
    <n v="22"/>
    <s v="Male"/>
    <x v="0"/>
    <s v="Diploma"/>
    <n v="4"/>
    <n v="936915"/>
    <x v="1"/>
    <x v="7"/>
    <x v="1"/>
    <n v="16"/>
    <n v="4"/>
    <s v="Yes"/>
    <x v="0"/>
  </r>
  <r>
    <s v="EMP278"/>
    <n v="51"/>
    <s v="Female"/>
    <x v="3"/>
    <s v="Master"/>
    <n v="2"/>
    <n v="458304"/>
    <x v="0"/>
    <x v="3"/>
    <x v="1"/>
    <n v="4"/>
    <n v="4"/>
    <s v="Yes"/>
    <x v="0"/>
  </r>
  <r>
    <s v="EMP279"/>
    <n v="45"/>
    <s v="Male"/>
    <x v="1"/>
    <s v="Bachelor"/>
    <n v="6"/>
    <n v="1030054"/>
    <x v="0"/>
    <x v="9"/>
    <x v="1"/>
    <n v="49"/>
    <n v="2"/>
    <s v="Yes"/>
    <x v="0"/>
  </r>
  <r>
    <s v="EMP280"/>
    <n v="39"/>
    <s v="Male"/>
    <x v="2"/>
    <s v="Bachelor"/>
    <n v="9"/>
    <n v="1035783"/>
    <x v="2"/>
    <x v="3"/>
    <x v="0"/>
    <n v="46"/>
    <n v="1"/>
    <s v="Yes"/>
    <x v="0"/>
  </r>
  <r>
    <s v="EMP281"/>
    <n v="58"/>
    <s v="Male"/>
    <x v="4"/>
    <s v="Master"/>
    <n v="3"/>
    <n v="1440670"/>
    <x v="0"/>
    <x v="3"/>
    <x v="1"/>
    <n v="8"/>
    <n v="1"/>
    <s v="Yes"/>
    <x v="0"/>
  </r>
  <r>
    <s v="EMP282"/>
    <n v="23"/>
    <s v="Female"/>
    <x v="0"/>
    <s v="Master"/>
    <n v="2"/>
    <n v="484479"/>
    <x v="2"/>
    <x v="9"/>
    <x v="0"/>
    <n v="16"/>
    <n v="5"/>
    <s v="No"/>
    <x v="1"/>
  </r>
  <r>
    <s v="EMP283"/>
    <n v="50"/>
    <s v="Female"/>
    <x v="0"/>
    <s v="Bachelor"/>
    <n v="20"/>
    <n v="975994"/>
    <x v="2"/>
    <x v="9"/>
    <x v="0"/>
    <n v="34"/>
    <n v="4"/>
    <s v="Yes"/>
    <x v="1"/>
  </r>
  <r>
    <s v="EMP284"/>
    <n v="34"/>
    <s v="Male"/>
    <x v="3"/>
    <s v="Master"/>
    <n v="4"/>
    <n v="1610752"/>
    <x v="2"/>
    <x v="3"/>
    <x v="1"/>
    <n v="46"/>
    <n v="5"/>
    <s v="No"/>
    <x v="0"/>
  </r>
  <r>
    <s v="EMP285"/>
    <n v="29"/>
    <s v="Female"/>
    <x v="1"/>
    <s v="Bachelor"/>
    <n v="3"/>
    <n v="1004887"/>
    <x v="1"/>
    <x v="8"/>
    <x v="0"/>
    <n v="56"/>
    <n v="5"/>
    <s v="No"/>
    <x v="0"/>
  </r>
  <r>
    <s v="EMP286"/>
    <n v="56"/>
    <s v="Male"/>
    <x v="3"/>
    <s v="MBA"/>
    <n v="5"/>
    <n v="532512"/>
    <x v="1"/>
    <x v="3"/>
    <x v="0"/>
    <n v="42"/>
    <n v="2"/>
    <s v="No"/>
    <x v="0"/>
  </r>
  <r>
    <s v="EMP287"/>
    <n v="57"/>
    <s v="Female"/>
    <x v="0"/>
    <s v="Bachelor"/>
    <n v="15"/>
    <n v="753354"/>
    <x v="0"/>
    <x v="5"/>
    <x v="1"/>
    <n v="35"/>
    <n v="3"/>
    <s v="No"/>
    <x v="0"/>
  </r>
  <r>
    <s v="EMP288"/>
    <n v="32"/>
    <s v="Female"/>
    <x v="1"/>
    <s v="MBA"/>
    <n v="20"/>
    <n v="1171512"/>
    <x v="1"/>
    <x v="2"/>
    <x v="1"/>
    <n v="14"/>
    <n v="3"/>
    <s v="Yes"/>
    <x v="0"/>
  </r>
  <r>
    <s v="EMP289"/>
    <n v="49"/>
    <s v="Female"/>
    <x v="2"/>
    <s v="Bachelor"/>
    <n v="7"/>
    <n v="532938"/>
    <x v="1"/>
    <x v="8"/>
    <x v="1"/>
    <n v="60"/>
    <n v="1"/>
    <s v="Yes"/>
    <x v="0"/>
  </r>
  <r>
    <s v="EMP290"/>
    <n v="52"/>
    <s v="Female"/>
    <x v="2"/>
    <s v="Diploma"/>
    <n v="0"/>
    <n v="535551"/>
    <x v="0"/>
    <x v="6"/>
    <x v="1"/>
    <n v="42"/>
    <n v="1"/>
    <s v="No"/>
    <x v="0"/>
  </r>
  <r>
    <s v="EMP291"/>
    <n v="47"/>
    <s v="Male"/>
    <x v="1"/>
    <s v="Bachelor"/>
    <n v="10"/>
    <n v="1666924"/>
    <x v="0"/>
    <x v="2"/>
    <x v="1"/>
    <n v="7"/>
    <n v="3"/>
    <s v="No"/>
    <x v="0"/>
  </r>
  <r>
    <s v="EMP292"/>
    <n v="30"/>
    <s v="Male"/>
    <x v="2"/>
    <s v="Bachelor"/>
    <n v="12"/>
    <n v="1703075"/>
    <x v="2"/>
    <x v="8"/>
    <x v="1"/>
    <n v="5"/>
    <n v="3"/>
    <s v="No"/>
    <x v="0"/>
  </r>
  <r>
    <s v="EMP293"/>
    <n v="25"/>
    <s v="Male"/>
    <x v="1"/>
    <s v="Bachelor"/>
    <n v="6"/>
    <n v="677376"/>
    <x v="1"/>
    <x v="3"/>
    <x v="1"/>
    <n v="24"/>
    <n v="3"/>
    <s v="No"/>
    <x v="0"/>
  </r>
  <r>
    <s v="EMP294"/>
    <n v="44"/>
    <s v="Male"/>
    <x v="4"/>
    <s v="Diploma"/>
    <n v="2"/>
    <n v="1147700"/>
    <x v="0"/>
    <x v="8"/>
    <x v="1"/>
    <n v="12"/>
    <n v="2"/>
    <s v="No"/>
    <x v="0"/>
  </r>
  <r>
    <s v="EMP295"/>
    <n v="34"/>
    <s v="Male"/>
    <x v="3"/>
    <s v="Diploma"/>
    <n v="0"/>
    <n v="880724"/>
    <x v="0"/>
    <x v="1"/>
    <x v="0"/>
    <n v="15"/>
    <n v="3"/>
    <s v="No"/>
    <x v="1"/>
  </r>
  <r>
    <s v="EMP296"/>
    <n v="42"/>
    <s v="Male"/>
    <x v="3"/>
    <s v="Diploma"/>
    <n v="10"/>
    <n v="393495"/>
    <x v="0"/>
    <x v="3"/>
    <x v="0"/>
    <n v="5"/>
    <n v="3"/>
    <s v="No"/>
    <x v="1"/>
  </r>
  <r>
    <s v="EMP297"/>
    <n v="51"/>
    <s v="Female"/>
    <x v="1"/>
    <s v="Master"/>
    <n v="5"/>
    <n v="1220150"/>
    <x v="2"/>
    <x v="3"/>
    <x v="0"/>
    <n v="31"/>
    <n v="2"/>
    <s v="No"/>
    <x v="0"/>
  </r>
  <r>
    <s v="EMP298"/>
    <n v="51"/>
    <s v="Female"/>
    <x v="1"/>
    <s v="Bachelor"/>
    <n v="13"/>
    <n v="1000498"/>
    <x v="1"/>
    <x v="4"/>
    <x v="0"/>
    <n v="27"/>
    <n v="3"/>
    <s v="No"/>
    <x v="1"/>
  </r>
  <r>
    <s v="EMP299"/>
    <n v="38"/>
    <s v="Female"/>
    <x v="1"/>
    <s v="MBA"/>
    <n v="14"/>
    <n v="1337154"/>
    <x v="0"/>
    <x v="9"/>
    <x v="1"/>
    <n v="14"/>
    <n v="2"/>
    <s v="Yes"/>
    <x v="0"/>
  </r>
  <r>
    <s v="EMP300"/>
    <n v="23"/>
    <s v="Female"/>
    <x v="0"/>
    <s v="Master"/>
    <n v="15"/>
    <n v="851324"/>
    <x v="0"/>
    <x v="7"/>
    <x v="0"/>
    <n v="39"/>
    <n v="1"/>
    <s v="Yes"/>
    <x v="1"/>
  </r>
  <r>
    <s v="EMP301"/>
    <n v="43"/>
    <s v="Male"/>
    <x v="0"/>
    <s v="Bachelor"/>
    <n v="5"/>
    <n v="1016924"/>
    <x v="0"/>
    <x v="0"/>
    <x v="1"/>
    <n v="44"/>
    <n v="2"/>
    <s v="No"/>
    <x v="0"/>
  </r>
  <r>
    <s v="EMP302"/>
    <n v="59"/>
    <s v="Female"/>
    <x v="4"/>
    <s v="Diploma"/>
    <n v="15"/>
    <n v="630418"/>
    <x v="2"/>
    <x v="4"/>
    <x v="1"/>
    <n v="48"/>
    <n v="3"/>
    <s v="No"/>
    <x v="0"/>
  </r>
  <r>
    <s v="EMP303"/>
    <n v="59"/>
    <s v="Female"/>
    <x v="1"/>
    <s v="MBA"/>
    <n v="15"/>
    <n v="1416600"/>
    <x v="1"/>
    <x v="9"/>
    <x v="0"/>
    <n v="15"/>
    <n v="2"/>
    <s v="No"/>
    <x v="1"/>
  </r>
  <r>
    <s v="EMP304"/>
    <n v="34"/>
    <s v="Female"/>
    <x v="0"/>
    <s v="Diploma"/>
    <n v="2"/>
    <n v="992513"/>
    <x v="1"/>
    <x v="9"/>
    <x v="1"/>
    <n v="46"/>
    <n v="5"/>
    <s v="Yes"/>
    <x v="0"/>
  </r>
  <r>
    <s v="EMP305"/>
    <n v="30"/>
    <s v="Female"/>
    <x v="0"/>
    <s v="Master"/>
    <n v="18"/>
    <n v="850501"/>
    <x v="2"/>
    <x v="2"/>
    <x v="0"/>
    <n v="59"/>
    <n v="4"/>
    <s v="No"/>
    <x v="0"/>
  </r>
  <r>
    <s v="EMP306"/>
    <n v="60"/>
    <s v="Female"/>
    <x v="2"/>
    <s v="Master"/>
    <n v="11"/>
    <n v="1305222"/>
    <x v="0"/>
    <x v="4"/>
    <x v="1"/>
    <n v="38"/>
    <n v="5"/>
    <s v="No"/>
    <x v="0"/>
  </r>
  <r>
    <s v="EMP307"/>
    <n v="58"/>
    <s v="Male"/>
    <x v="3"/>
    <s v="Diploma"/>
    <n v="13"/>
    <n v="1504979"/>
    <x v="0"/>
    <x v="1"/>
    <x v="1"/>
    <n v="40"/>
    <n v="1"/>
    <s v="Yes"/>
    <x v="0"/>
  </r>
  <r>
    <s v="EMP308"/>
    <n v="43"/>
    <s v="Male"/>
    <x v="2"/>
    <s v="MBA"/>
    <n v="17"/>
    <n v="837582"/>
    <x v="1"/>
    <x v="0"/>
    <x v="1"/>
    <n v="2"/>
    <n v="2"/>
    <s v="Yes"/>
    <x v="0"/>
  </r>
  <r>
    <s v="EMP309"/>
    <n v="39"/>
    <s v="Male"/>
    <x v="3"/>
    <s v="Bachelor"/>
    <n v="0"/>
    <n v="1096418"/>
    <x v="1"/>
    <x v="9"/>
    <x v="1"/>
    <n v="16"/>
    <n v="5"/>
    <s v="No"/>
    <x v="0"/>
  </r>
  <r>
    <s v="EMP310"/>
    <n v="59"/>
    <s v="Male"/>
    <x v="2"/>
    <s v="Bachelor"/>
    <n v="14"/>
    <n v="1591767"/>
    <x v="1"/>
    <x v="6"/>
    <x v="0"/>
    <n v="7"/>
    <n v="5"/>
    <s v="No"/>
    <x v="1"/>
  </r>
  <r>
    <s v="EMP311"/>
    <n v="49"/>
    <s v="Female"/>
    <x v="0"/>
    <s v="Bachelor"/>
    <n v="0"/>
    <n v="1578589"/>
    <x v="2"/>
    <x v="8"/>
    <x v="1"/>
    <n v="18"/>
    <n v="4"/>
    <s v="No"/>
    <x v="0"/>
  </r>
  <r>
    <s v="EMP312"/>
    <n v="54"/>
    <s v="Male"/>
    <x v="0"/>
    <s v="Diploma"/>
    <n v="4"/>
    <n v="754234"/>
    <x v="2"/>
    <x v="8"/>
    <x v="1"/>
    <n v="23"/>
    <n v="5"/>
    <s v="No"/>
    <x v="0"/>
  </r>
  <r>
    <s v="EMP313"/>
    <n v="50"/>
    <s v="Female"/>
    <x v="3"/>
    <s v="Master"/>
    <n v="6"/>
    <n v="1041916"/>
    <x v="0"/>
    <x v="3"/>
    <x v="0"/>
    <n v="43"/>
    <n v="5"/>
    <s v="Yes"/>
    <x v="0"/>
  </r>
  <r>
    <s v="EMP314"/>
    <n v="48"/>
    <s v="Male"/>
    <x v="0"/>
    <s v="Bachelor"/>
    <n v="18"/>
    <n v="592712"/>
    <x v="1"/>
    <x v="4"/>
    <x v="0"/>
    <n v="3"/>
    <n v="2"/>
    <s v="No"/>
    <x v="1"/>
  </r>
  <r>
    <s v="EMP315"/>
    <n v="27"/>
    <s v="Female"/>
    <x v="2"/>
    <s v="Master"/>
    <n v="20"/>
    <n v="1484375"/>
    <x v="2"/>
    <x v="9"/>
    <x v="1"/>
    <n v="54"/>
    <n v="5"/>
    <s v="Yes"/>
    <x v="0"/>
  </r>
  <r>
    <s v="EMP316"/>
    <n v="43"/>
    <s v="Male"/>
    <x v="2"/>
    <s v="MBA"/>
    <n v="2"/>
    <n v="1514459"/>
    <x v="1"/>
    <x v="3"/>
    <x v="1"/>
    <n v="58"/>
    <n v="3"/>
    <s v="Yes"/>
    <x v="0"/>
  </r>
  <r>
    <s v="EMP317"/>
    <n v="60"/>
    <s v="Male"/>
    <x v="0"/>
    <s v="MBA"/>
    <n v="10"/>
    <n v="1743335"/>
    <x v="1"/>
    <x v="5"/>
    <x v="0"/>
    <n v="17"/>
    <n v="5"/>
    <s v="Yes"/>
    <x v="0"/>
  </r>
  <r>
    <s v="EMP318"/>
    <n v="59"/>
    <s v="Male"/>
    <x v="4"/>
    <s v="Diploma"/>
    <n v="3"/>
    <n v="452002"/>
    <x v="0"/>
    <x v="2"/>
    <x v="1"/>
    <n v="54"/>
    <n v="5"/>
    <s v="No"/>
    <x v="0"/>
  </r>
  <r>
    <s v="EMP319"/>
    <n v="26"/>
    <s v="Male"/>
    <x v="3"/>
    <s v="Bachelor"/>
    <n v="1"/>
    <n v="1640323"/>
    <x v="2"/>
    <x v="2"/>
    <x v="1"/>
    <n v="50"/>
    <n v="1"/>
    <s v="No"/>
    <x v="0"/>
  </r>
  <r>
    <s v="EMP320"/>
    <n v="54"/>
    <s v="Male"/>
    <x v="4"/>
    <s v="Diploma"/>
    <n v="17"/>
    <n v="1392793"/>
    <x v="1"/>
    <x v="2"/>
    <x v="1"/>
    <n v="27"/>
    <n v="5"/>
    <s v="No"/>
    <x v="0"/>
  </r>
  <r>
    <s v="EMP321"/>
    <n v="56"/>
    <s v="Male"/>
    <x v="4"/>
    <s v="Diploma"/>
    <n v="13"/>
    <n v="635714"/>
    <x v="0"/>
    <x v="9"/>
    <x v="0"/>
    <n v="18"/>
    <n v="1"/>
    <s v="Yes"/>
    <x v="1"/>
  </r>
  <r>
    <s v="EMP322"/>
    <n v="36"/>
    <s v="Male"/>
    <x v="0"/>
    <s v="Diploma"/>
    <n v="3"/>
    <n v="1173908"/>
    <x v="1"/>
    <x v="7"/>
    <x v="0"/>
    <n v="15"/>
    <n v="2"/>
    <s v="Yes"/>
    <x v="1"/>
  </r>
  <r>
    <s v="EMP323"/>
    <n v="45"/>
    <s v="Male"/>
    <x v="4"/>
    <s v="Bachelor"/>
    <n v="20"/>
    <n v="277157"/>
    <x v="1"/>
    <x v="2"/>
    <x v="1"/>
    <n v="21"/>
    <n v="1"/>
    <s v="No"/>
    <x v="0"/>
  </r>
  <r>
    <s v="EMP324"/>
    <n v="43"/>
    <s v="Female"/>
    <x v="1"/>
    <s v="Diploma"/>
    <n v="6"/>
    <n v="1628012"/>
    <x v="2"/>
    <x v="4"/>
    <x v="1"/>
    <n v="13"/>
    <n v="2"/>
    <s v="No"/>
    <x v="0"/>
  </r>
  <r>
    <s v="EMP325"/>
    <n v="39"/>
    <s v="Male"/>
    <x v="4"/>
    <s v="MBA"/>
    <n v="4"/>
    <n v="787927"/>
    <x v="1"/>
    <x v="4"/>
    <x v="0"/>
    <n v="36"/>
    <n v="1"/>
    <s v="No"/>
    <x v="1"/>
  </r>
  <r>
    <s v="EMP326"/>
    <n v="58"/>
    <s v="Male"/>
    <x v="4"/>
    <s v="Diploma"/>
    <n v="12"/>
    <n v="1400206"/>
    <x v="1"/>
    <x v="8"/>
    <x v="0"/>
    <n v="8"/>
    <n v="5"/>
    <s v="No"/>
    <x v="0"/>
  </r>
  <r>
    <s v="EMP327"/>
    <n v="39"/>
    <s v="Male"/>
    <x v="3"/>
    <s v="Bachelor"/>
    <n v="0"/>
    <n v="1206910"/>
    <x v="1"/>
    <x v="2"/>
    <x v="1"/>
    <n v="32"/>
    <n v="2"/>
    <s v="No"/>
    <x v="0"/>
  </r>
  <r>
    <s v="EMP328"/>
    <n v="33"/>
    <s v="Female"/>
    <x v="1"/>
    <s v="Master"/>
    <n v="1"/>
    <n v="323519"/>
    <x v="1"/>
    <x v="0"/>
    <x v="1"/>
    <n v="58"/>
    <n v="2"/>
    <s v="No"/>
    <x v="0"/>
  </r>
  <r>
    <s v="EMP329"/>
    <n v="30"/>
    <s v="Male"/>
    <x v="2"/>
    <s v="Bachelor"/>
    <n v="15"/>
    <n v="351602"/>
    <x v="0"/>
    <x v="8"/>
    <x v="0"/>
    <n v="6"/>
    <n v="3"/>
    <s v="Yes"/>
    <x v="0"/>
  </r>
  <r>
    <s v="EMP330"/>
    <n v="58"/>
    <s v="Female"/>
    <x v="4"/>
    <s v="MBA"/>
    <n v="16"/>
    <n v="1501564"/>
    <x v="1"/>
    <x v="9"/>
    <x v="1"/>
    <n v="49"/>
    <n v="1"/>
    <s v="No"/>
    <x v="0"/>
  </r>
  <r>
    <s v="EMP331"/>
    <n v="31"/>
    <s v="Female"/>
    <x v="4"/>
    <s v="Bachelor"/>
    <n v="13"/>
    <n v="1723459"/>
    <x v="0"/>
    <x v="6"/>
    <x v="1"/>
    <n v="50"/>
    <n v="2"/>
    <s v="No"/>
    <x v="0"/>
  </r>
  <r>
    <s v="EMP332"/>
    <n v="49"/>
    <s v="Female"/>
    <x v="2"/>
    <s v="MBA"/>
    <n v="3"/>
    <n v="528893"/>
    <x v="1"/>
    <x v="2"/>
    <x v="1"/>
    <n v="32"/>
    <n v="3"/>
    <s v="Yes"/>
    <x v="0"/>
  </r>
  <r>
    <s v="EMP333"/>
    <n v="28"/>
    <s v="Female"/>
    <x v="3"/>
    <s v="MBA"/>
    <n v="5"/>
    <n v="510609"/>
    <x v="2"/>
    <x v="2"/>
    <x v="0"/>
    <n v="36"/>
    <n v="1"/>
    <s v="No"/>
    <x v="0"/>
  </r>
  <r>
    <s v="EMP334"/>
    <n v="33"/>
    <s v="Female"/>
    <x v="1"/>
    <s v="Master"/>
    <n v="1"/>
    <n v="1429552"/>
    <x v="1"/>
    <x v="5"/>
    <x v="1"/>
    <n v="31"/>
    <n v="4"/>
    <s v="No"/>
    <x v="0"/>
  </r>
  <r>
    <s v="EMP335"/>
    <n v="34"/>
    <s v="Male"/>
    <x v="4"/>
    <s v="MBA"/>
    <n v="4"/>
    <n v="512238"/>
    <x v="1"/>
    <x v="2"/>
    <x v="0"/>
    <n v="4"/>
    <n v="3"/>
    <s v="No"/>
    <x v="0"/>
  </r>
  <r>
    <s v="EMP336"/>
    <n v="41"/>
    <s v="Female"/>
    <x v="1"/>
    <s v="Bachelor"/>
    <n v="16"/>
    <n v="1792111"/>
    <x v="2"/>
    <x v="7"/>
    <x v="1"/>
    <n v="32"/>
    <n v="3"/>
    <s v="No"/>
    <x v="0"/>
  </r>
  <r>
    <s v="EMP337"/>
    <n v="22"/>
    <s v="Female"/>
    <x v="0"/>
    <s v="Diploma"/>
    <n v="10"/>
    <n v="439978"/>
    <x v="0"/>
    <x v="3"/>
    <x v="1"/>
    <n v="40"/>
    <n v="3"/>
    <s v="Yes"/>
    <x v="0"/>
  </r>
  <r>
    <s v="EMP338"/>
    <n v="53"/>
    <s v="Female"/>
    <x v="4"/>
    <s v="Master"/>
    <n v="17"/>
    <n v="643496"/>
    <x v="0"/>
    <x v="8"/>
    <x v="1"/>
    <n v="21"/>
    <n v="1"/>
    <s v="No"/>
    <x v="0"/>
  </r>
  <r>
    <s v="EMP339"/>
    <n v="45"/>
    <s v="Male"/>
    <x v="4"/>
    <s v="Bachelor"/>
    <n v="14"/>
    <n v="1340500"/>
    <x v="2"/>
    <x v="5"/>
    <x v="0"/>
    <n v="11"/>
    <n v="5"/>
    <s v="No"/>
    <x v="0"/>
  </r>
  <r>
    <s v="EMP340"/>
    <n v="29"/>
    <s v="Male"/>
    <x v="4"/>
    <s v="MBA"/>
    <n v="11"/>
    <n v="1056540"/>
    <x v="2"/>
    <x v="1"/>
    <x v="1"/>
    <n v="20"/>
    <n v="3"/>
    <s v="Yes"/>
    <x v="0"/>
  </r>
  <r>
    <s v="EMP341"/>
    <n v="30"/>
    <s v="Male"/>
    <x v="2"/>
    <s v="MBA"/>
    <n v="5"/>
    <n v="1212279"/>
    <x v="1"/>
    <x v="0"/>
    <x v="0"/>
    <n v="59"/>
    <n v="1"/>
    <s v="Yes"/>
    <x v="0"/>
  </r>
  <r>
    <s v="EMP342"/>
    <n v="44"/>
    <s v="Female"/>
    <x v="0"/>
    <s v="Master"/>
    <n v="7"/>
    <n v="368590"/>
    <x v="1"/>
    <x v="2"/>
    <x v="1"/>
    <n v="44"/>
    <n v="3"/>
    <s v="No"/>
    <x v="0"/>
  </r>
  <r>
    <s v="EMP343"/>
    <n v="45"/>
    <s v="Male"/>
    <x v="0"/>
    <s v="MBA"/>
    <n v="14"/>
    <n v="1050090"/>
    <x v="2"/>
    <x v="3"/>
    <x v="0"/>
    <n v="8"/>
    <n v="1"/>
    <s v="No"/>
    <x v="0"/>
  </r>
  <r>
    <s v="EMP344"/>
    <n v="25"/>
    <s v="Female"/>
    <x v="2"/>
    <s v="Bachelor"/>
    <n v="1"/>
    <n v="710390"/>
    <x v="2"/>
    <x v="2"/>
    <x v="1"/>
    <n v="31"/>
    <n v="4"/>
    <s v="No"/>
    <x v="0"/>
  </r>
  <r>
    <s v="EMP345"/>
    <n v="58"/>
    <s v="Female"/>
    <x v="0"/>
    <s v="MBA"/>
    <n v="6"/>
    <n v="773988"/>
    <x v="1"/>
    <x v="4"/>
    <x v="1"/>
    <n v="27"/>
    <n v="4"/>
    <s v="No"/>
    <x v="0"/>
  </r>
  <r>
    <s v="EMP346"/>
    <n v="45"/>
    <s v="Male"/>
    <x v="4"/>
    <s v="Bachelor"/>
    <n v="4"/>
    <n v="1281686"/>
    <x v="0"/>
    <x v="0"/>
    <x v="1"/>
    <n v="25"/>
    <n v="1"/>
    <s v="No"/>
    <x v="0"/>
  </r>
  <r>
    <s v="EMP347"/>
    <n v="29"/>
    <s v="Male"/>
    <x v="4"/>
    <s v="Bachelor"/>
    <n v="5"/>
    <n v="761446"/>
    <x v="1"/>
    <x v="9"/>
    <x v="1"/>
    <n v="45"/>
    <n v="1"/>
    <s v="Yes"/>
    <x v="0"/>
  </r>
  <r>
    <s v="EMP348"/>
    <n v="53"/>
    <s v="Male"/>
    <x v="2"/>
    <s v="Diploma"/>
    <n v="8"/>
    <n v="657496"/>
    <x v="0"/>
    <x v="8"/>
    <x v="1"/>
    <n v="34"/>
    <n v="2"/>
    <s v="Yes"/>
    <x v="0"/>
  </r>
  <r>
    <s v="EMP349"/>
    <n v="54"/>
    <s v="Male"/>
    <x v="1"/>
    <s v="Master"/>
    <n v="16"/>
    <n v="724864"/>
    <x v="1"/>
    <x v="2"/>
    <x v="0"/>
    <n v="16"/>
    <n v="4"/>
    <s v="No"/>
    <x v="0"/>
  </r>
  <r>
    <s v="EMP350"/>
    <n v="29"/>
    <s v="Male"/>
    <x v="0"/>
    <s v="Diploma"/>
    <n v="3"/>
    <n v="1136888"/>
    <x v="2"/>
    <x v="9"/>
    <x v="0"/>
    <n v="3"/>
    <n v="3"/>
    <s v="No"/>
    <x v="1"/>
  </r>
  <r>
    <s v="EMP351"/>
    <n v="49"/>
    <s v="Male"/>
    <x v="4"/>
    <s v="Bachelor"/>
    <n v="19"/>
    <n v="509567"/>
    <x v="0"/>
    <x v="1"/>
    <x v="0"/>
    <n v="45"/>
    <n v="2"/>
    <s v="Yes"/>
    <x v="0"/>
  </r>
  <r>
    <s v="EMP352"/>
    <n v="59"/>
    <s v="Male"/>
    <x v="0"/>
    <s v="Bachelor"/>
    <n v="11"/>
    <n v="636958"/>
    <x v="1"/>
    <x v="4"/>
    <x v="0"/>
    <n v="58"/>
    <n v="4"/>
    <s v="No"/>
    <x v="1"/>
  </r>
  <r>
    <s v="EMP353"/>
    <n v="47"/>
    <s v="Male"/>
    <x v="1"/>
    <s v="Master"/>
    <n v="8"/>
    <n v="465529"/>
    <x v="1"/>
    <x v="5"/>
    <x v="0"/>
    <n v="45"/>
    <n v="1"/>
    <s v="Yes"/>
    <x v="0"/>
  </r>
  <r>
    <s v="EMP354"/>
    <n v="25"/>
    <s v="Female"/>
    <x v="1"/>
    <s v="Bachelor"/>
    <n v="20"/>
    <n v="902111"/>
    <x v="0"/>
    <x v="7"/>
    <x v="1"/>
    <n v="39"/>
    <n v="3"/>
    <s v="No"/>
    <x v="0"/>
  </r>
  <r>
    <s v="EMP355"/>
    <n v="48"/>
    <s v="Male"/>
    <x v="4"/>
    <s v="Master"/>
    <n v="5"/>
    <n v="617389"/>
    <x v="0"/>
    <x v="9"/>
    <x v="1"/>
    <n v="9"/>
    <n v="1"/>
    <s v="No"/>
    <x v="0"/>
  </r>
  <r>
    <s v="EMP356"/>
    <n v="41"/>
    <s v="Female"/>
    <x v="1"/>
    <s v="Bachelor"/>
    <n v="17"/>
    <n v="1176336"/>
    <x v="2"/>
    <x v="6"/>
    <x v="0"/>
    <n v="50"/>
    <n v="1"/>
    <s v="No"/>
    <x v="1"/>
  </r>
  <r>
    <s v="EMP357"/>
    <n v="43"/>
    <s v="Male"/>
    <x v="2"/>
    <s v="Bachelor"/>
    <n v="10"/>
    <n v="677741"/>
    <x v="1"/>
    <x v="7"/>
    <x v="1"/>
    <n v="59"/>
    <n v="2"/>
    <s v="Yes"/>
    <x v="0"/>
  </r>
  <r>
    <s v="EMP358"/>
    <n v="46"/>
    <s v="Male"/>
    <x v="1"/>
    <s v="MBA"/>
    <n v="20"/>
    <n v="1616376"/>
    <x v="2"/>
    <x v="6"/>
    <x v="1"/>
    <n v="35"/>
    <n v="2"/>
    <s v="No"/>
    <x v="0"/>
  </r>
  <r>
    <s v="EMP359"/>
    <n v="38"/>
    <s v="Male"/>
    <x v="3"/>
    <s v="Bachelor"/>
    <n v="17"/>
    <n v="950533"/>
    <x v="1"/>
    <x v="8"/>
    <x v="1"/>
    <n v="54"/>
    <n v="5"/>
    <s v="No"/>
    <x v="0"/>
  </r>
  <r>
    <s v="EMP360"/>
    <n v="50"/>
    <s v="Male"/>
    <x v="3"/>
    <s v="Bachelor"/>
    <n v="20"/>
    <n v="374471"/>
    <x v="1"/>
    <x v="1"/>
    <x v="1"/>
    <n v="38"/>
    <n v="1"/>
    <s v="Yes"/>
    <x v="0"/>
  </r>
  <r>
    <s v="EMP361"/>
    <n v="54"/>
    <s v="Female"/>
    <x v="2"/>
    <s v="Bachelor"/>
    <n v="11"/>
    <n v="1748284"/>
    <x v="1"/>
    <x v="8"/>
    <x v="0"/>
    <n v="21"/>
    <n v="4"/>
    <s v="No"/>
    <x v="0"/>
  </r>
  <r>
    <s v="EMP362"/>
    <n v="42"/>
    <s v="Female"/>
    <x v="0"/>
    <s v="Bachelor"/>
    <n v="13"/>
    <n v="435044"/>
    <x v="1"/>
    <x v="4"/>
    <x v="1"/>
    <n v="3"/>
    <n v="3"/>
    <s v="No"/>
    <x v="0"/>
  </r>
  <r>
    <s v="EMP363"/>
    <n v="44"/>
    <s v="Male"/>
    <x v="4"/>
    <s v="Diploma"/>
    <n v="20"/>
    <n v="1702771"/>
    <x v="2"/>
    <x v="9"/>
    <x v="1"/>
    <n v="31"/>
    <n v="1"/>
    <s v="No"/>
    <x v="0"/>
  </r>
  <r>
    <s v="EMP364"/>
    <n v="37"/>
    <s v="Female"/>
    <x v="1"/>
    <s v="Bachelor"/>
    <n v="9"/>
    <n v="1305700"/>
    <x v="0"/>
    <x v="2"/>
    <x v="1"/>
    <n v="35"/>
    <n v="5"/>
    <s v="No"/>
    <x v="0"/>
  </r>
  <r>
    <s v="EMP365"/>
    <n v="35"/>
    <s v="Female"/>
    <x v="2"/>
    <s v="Diploma"/>
    <n v="19"/>
    <n v="732364"/>
    <x v="1"/>
    <x v="2"/>
    <x v="1"/>
    <n v="35"/>
    <n v="4"/>
    <s v="No"/>
    <x v="0"/>
  </r>
  <r>
    <s v="EMP366"/>
    <n v="49"/>
    <s v="Female"/>
    <x v="2"/>
    <s v="Diploma"/>
    <n v="7"/>
    <n v="662301"/>
    <x v="1"/>
    <x v="2"/>
    <x v="0"/>
    <n v="18"/>
    <n v="1"/>
    <s v="Yes"/>
    <x v="0"/>
  </r>
  <r>
    <s v="EMP367"/>
    <n v="36"/>
    <s v="Male"/>
    <x v="0"/>
    <s v="Bachelor"/>
    <n v="1"/>
    <n v="1243717"/>
    <x v="1"/>
    <x v="8"/>
    <x v="0"/>
    <n v="3"/>
    <n v="4"/>
    <s v="Yes"/>
    <x v="1"/>
  </r>
  <r>
    <s v="EMP368"/>
    <n v="51"/>
    <s v="Male"/>
    <x v="2"/>
    <s v="Bachelor"/>
    <n v="7"/>
    <n v="518124"/>
    <x v="1"/>
    <x v="1"/>
    <x v="1"/>
    <n v="19"/>
    <n v="2"/>
    <s v="No"/>
    <x v="0"/>
  </r>
  <r>
    <s v="EMP369"/>
    <n v="59"/>
    <s v="Male"/>
    <x v="3"/>
    <s v="Diploma"/>
    <n v="0"/>
    <n v="1067209"/>
    <x v="2"/>
    <x v="9"/>
    <x v="1"/>
    <n v="28"/>
    <n v="2"/>
    <s v="Yes"/>
    <x v="0"/>
  </r>
  <r>
    <s v="EMP370"/>
    <n v="42"/>
    <s v="Male"/>
    <x v="3"/>
    <s v="Diploma"/>
    <n v="12"/>
    <n v="1560661"/>
    <x v="2"/>
    <x v="5"/>
    <x v="1"/>
    <n v="24"/>
    <n v="5"/>
    <s v="No"/>
    <x v="0"/>
  </r>
  <r>
    <s v="EMP371"/>
    <n v="60"/>
    <s v="Female"/>
    <x v="3"/>
    <s v="MBA"/>
    <n v="10"/>
    <n v="511706"/>
    <x v="0"/>
    <x v="0"/>
    <x v="1"/>
    <n v="16"/>
    <n v="5"/>
    <s v="No"/>
    <x v="0"/>
  </r>
  <r>
    <s v="EMP372"/>
    <n v="58"/>
    <s v="Male"/>
    <x v="3"/>
    <s v="MBA"/>
    <n v="13"/>
    <n v="1267889"/>
    <x v="2"/>
    <x v="5"/>
    <x v="1"/>
    <n v="58"/>
    <n v="1"/>
    <s v="No"/>
    <x v="0"/>
  </r>
  <r>
    <s v="EMP373"/>
    <n v="38"/>
    <s v="Female"/>
    <x v="2"/>
    <s v="Master"/>
    <n v="18"/>
    <n v="1556313"/>
    <x v="1"/>
    <x v="1"/>
    <x v="0"/>
    <n v="23"/>
    <n v="1"/>
    <s v="Yes"/>
    <x v="0"/>
  </r>
  <r>
    <s v="EMP374"/>
    <n v="23"/>
    <s v="Male"/>
    <x v="4"/>
    <s v="MBA"/>
    <n v="9"/>
    <n v="530709"/>
    <x v="2"/>
    <x v="2"/>
    <x v="1"/>
    <n v="47"/>
    <n v="2"/>
    <s v="Yes"/>
    <x v="0"/>
  </r>
  <r>
    <s v="EMP375"/>
    <n v="28"/>
    <s v="Female"/>
    <x v="1"/>
    <s v="Bachelor"/>
    <n v="5"/>
    <n v="911502"/>
    <x v="0"/>
    <x v="9"/>
    <x v="0"/>
    <n v="23"/>
    <n v="4"/>
    <s v="No"/>
    <x v="1"/>
  </r>
  <r>
    <s v="EMP376"/>
    <n v="25"/>
    <s v="Female"/>
    <x v="4"/>
    <s v="Bachelor"/>
    <n v="4"/>
    <n v="1494607"/>
    <x v="0"/>
    <x v="3"/>
    <x v="1"/>
    <n v="22"/>
    <n v="2"/>
    <s v="Yes"/>
    <x v="0"/>
  </r>
  <r>
    <s v="EMP377"/>
    <n v="28"/>
    <s v="Male"/>
    <x v="2"/>
    <s v="Bachelor"/>
    <n v="20"/>
    <n v="527285"/>
    <x v="1"/>
    <x v="4"/>
    <x v="0"/>
    <n v="21"/>
    <n v="1"/>
    <s v="No"/>
    <x v="1"/>
  </r>
  <r>
    <s v="EMP378"/>
    <n v="39"/>
    <s v="Female"/>
    <x v="3"/>
    <s v="MBA"/>
    <n v="0"/>
    <n v="1739504"/>
    <x v="2"/>
    <x v="8"/>
    <x v="0"/>
    <n v="17"/>
    <n v="5"/>
    <s v="Yes"/>
    <x v="1"/>
  </r>
  <r>
    <s v="EMP379"/>
    <n v="24"/>
    <s v="Female"/>
    <x v="3"/>
    <s v="Diploma"/>
    <n v="5"/>
    <n v="1633562"/>
    <x v="1"/>
    <x v="5"/>
    <x v="0"/>
    <n v="23"/>
    <n v="1"/>
    <s v="No"/>
    <x v="0"/>
  </r>
  <r>
    <s v="EMP380"/>
    <n v="33"/>
    <s v="Male"/>
    <x v="1"/>
    <s v="MBA"/>
    <n v="14"/>
    <n v="1724379"/>
    <x v="1"/>
    <x v="0"/>
    <x v="0"/>
    <n v="51"/>
    <n v="3"/>
    <s v="No"/>
    <x v="0"/>
  </r>
  <r>
    <s v="EMP381"/>
    <n v="39"/>
    <s v="Male"/>
    <x v="0"/>
    <s v="Master"/>
    <n v="12"/>
    <n v="438576"/>
    <x v="1"/>
    <x v="4"/>
    <x v="1"/>
    <n v="13"/>
    <n v="1"/>
    <s v="No"/>
    <x v="0"/>
  </r>
  <r>
    <s v="EMP382"/>
    <n v="30"/>
    <s v="Male"/>
    <x v="0"/>
    <s v="MBA"/>
    <n v="1"/>
    <n v="1748014"/>
    <x v="2"/>
    <x v="6"/>
    <x v="1"/>
    <n v="40"/>
    <n v="2"/>
    <s v="Yes"/>
    <x v="0"/>
  </r>
  <r>
    <s v="EMP383"/>
    <n v="49"/>
    <s v="Female"/>
    <x v="3"/>
    <s v="Diploma"/>
    <n v="9"/>
    <n v="1357398"/>
    <x v="1"/>
    <x v="5"/>
    <x v="1"/>
    <n v="3"/>
    <n v="2"/>
    <s v="No"/>
    <x v="0"/>
  </r>
  <r>
    <s v="EMP384"/>
    <n v="35"/>
    <s v="Male"/>
    <x v="2"/>
    <s v="Diploma"/>
    <n v="13"/>
    <n v="1654474"/>
    <x v="1"/>
    <x v="9"/>
    <x v="0"/>
    <n v="55"/>
    <n v="1"/>
    <s v="No"/>
    <x v="1"/>
  </r>
  <r>
    <s v="EMP385"/>
    <n v="25"/>
    <s v="Male"/>
    <x v="4"/>
    <s v="Bachelor"/>
    <n v="0"/>
    <n v="397799"/>
    <x v="2"/>
    <x v="0"/>
    <x v="1"/>
    <n v="5"/>
    <n v="1"/>
    <s v="No"/>
    <x v="0"/>
  </r>
  <r>
    <s v="EMP386"/>
    <n v="25"/>
    <s v="Male"/>
    <x v="4"/>
    <s v="MBA"/>
    <n v="18"/>
    <n v="405295"/>
    <x v="1"/>
    <x v="8"/>
    <x v="1"/>
    <n v="27"/>
    <n v="1"/>
    <s v="No"/>
    <x v="0"/>
  </r>
  <r>
    <s v="EMP387"/>
    <n v="40"/>
    <s v="Male"/>
    <x v="4"/>
    <s v="Master"/>
    <n v="9"/>
    <n v="904127"/>
    <x v="1"/>
    <x v="9"/>
    <x v="1"/>
    <n v="6"/>
    <n v="2"/>
    <s v="No"/>
    <x v="0"/>
  </r>
  <r>
    <s v="EMP388"/>
    <n v="60"/>
    <s v="Female"/>
    <x v="2"/>
    <s v="Bachelor"/>
    <n v="14"/>
    <n v="1576896"/>
    <x v="0"/>
    <x v="4"/>
    <x v="1"/>
    <n v="41"/>
    <n v="5"/>
    <s v="No"/>
    <x v="0"/>
  </r>
  <r>
    <s v="EMP389"/>
    <n v="28"/>
    <s v="Male"/>
    <x v="4"/>
    <s v="Master"/>
    <n v="11"/>
    <n v="995835"/>
    <x v="0"/>
    <x v="4"/>
    <x v="0"/>
    <n v="2"/>
    <n v="1"/>
    <s v="No"/>
    <x v="1"/>
  </r>
  <r>
    <s v="EMP390"/>
    <n v="49"/>
    <s v="Female"/>
    <x v="4"/>
    <s v="MBA"/>
    <n v="11"/>
    <n v="402777"/>
    <x v="0"/>
    <x v="5"/>
    <x v="1"/>
    <n v="42"/>
    <n v="3"/>
    <s v="No"/>
    <x v="0"/>
  </r>
  <r>
    <s v="EMP391"/>
    <n v="43"/>
    <s v="Male"/>
    <x v="1"/>
    <s v="Master"/>
    <n v="10"/>
    <n v="1171718"/>
    <x v="2"/>
    <x v="2"/>
    <x v="1"/>
    <n v="41"/>
    <n v="4"/>
    <s v="No"/>
    <x v="0"/>
  </r>
  <r>
    <s v="EMP392"/>
    <n v="51"/>
    <s v="Male"/>
    <x v="3"/>
    <s v="Master"/>
    <n v="15"/>
    <n v="330135"/>
    <x v="1"/>
    <x v="4"/>
    <x v="0"/>
    <n v="9"/>
    <n v="2"/>
    <s v="No"/>
    <x v="1"/>
  </r>
  <r>
    <s v="EMP393"/>
    <n v="22"/>
    <s v="Female"/>
    <x v="1"/>
    <s v="Master"/>
    <n v="16"/>
    <n v="1034960"/>
    <x v="0"/>
    <x v="3"/>
    <x v="1"/>
    <n v="26"/>
    <n v="1"/>
    <s v="No"/>
    <x v="0"/>
  </r>
  <r>
    <s v="EMP394"/>
    <n v="60"/>
    <s v="Female"/>
    <x v="4"/>
    <s v="Diploma"/>
    <n v="9"/>
    <n v="1093223"/>
    <x v="2"/>
    <x v="2"/>
    <x v="1"/>
    <n v="0"/>
    <n v="1"/>
    <s v="No"/>
    <x v="0"/>
  </r>
  <r>
    <s v="EMP395"/>
    <n v="31"/>
    <s v="Male"/>
    <x v="4"/>
    <s v="MBA"/>
    <n v="17"/>
    <n v="520477"/>
    <x v="2"/>
    <x v="9"/>
    <x v="0"/>
    <n v="5"/>
    <n v="4"/>
    <s v="Yes"/>
    <x v="1"/>
  </r>
  <r>
    <s v="EMP396"/>
    <n v="57"/>
    <s v="Male"/>
    <x v="3"/>
    <s v="Master"/>
    <n v="8"/>
    <n v="298195"/>
    <x v="2"/>
    <x v="0"/>
    <x v="0"/>
    <n v="54"/>
    <n v="3"/>
    <s v="No"/>
    <x v="0"/>
  </r>
  <r>
    <s v="EMP397"/>
    <n v="28"/>
    <s v="Male"/>
    <x v="2"/>
    <s v="Master"/>
    <n v="11"/>
    <n v="543543"/>
    <x v="1"/>
    <x v="1"/>
    <x v="1"/>
    <n v="5"/>
    <n v="5"/>
    <s v="Yes"/>
    <x v="0"/>
  </r>
  <r>
    <s v="EMP398"/>
    <n v="24"/>
    <s v="Male"/>
    <x v="4"/>
    <s v="Diploma"/>
    <n v="3"/>
    <n v="1581351"/>
    <x v="2"/>
    <x v="9"/>
    <x v="1"/>
    <n v="11"/>
    <n v="5"/>
    <s v="Yes"/>
    <x v="0"/>
  </r>
  <r>
    <s v="EMP399"/>
    <n v="47"/>
    <s v="Male"/>
    <x v="1"/>
    <s v="Diploma"/>
    <n v="15"/>
    <n v="356787"/>
    <x v="0"/>
    <x v="5"/>
    <x v="0"/>
    <n v="52"/>
    <n v="1"/>
    <s v="No"/>
    <x v="0"/>
  </r>
  <r>
    <s v="EMP400"/>
    <n v="40"/>
    <s v="Female"/>
    <x v="4"/>
    <s v="Diploma"/>
    <n v="9"/>
    <n v="696935"/>
    <x v="1"/>
    <x v="1"/>
    <x v="0"/>
    <n v="11"/>
    <n v="3"/>
    <s v="No"/>
    <x v="0"/>
  </r>
  <r>
    <s v="EMP401"/>
    <n v="46"/>
    <s v="Female"/>
    <x v="4"/>
    <s v="Bachelor"/>
    <n v="4"/>
    <n v="250317"/>
    <x v="2"/>
    <x v="2"/>
    <x v="1"/>
    <n v="26"/>
    <n v="2"/>
    <s v="No"/>
    <x v="0"/>
  </r>
  <r>
    <s v="EMP402"/>
    <n v="43"/>
    <s v="Female"/>
    <x v="1"/>
    <s v="Master"/>
    <n v="3"/>
    <n v="560032"/>
    <x v="2"/>
    <x v="0"/>
    <x v="1"/>
    <n v="50"/>
    <n v="4"/>
    <s v="No"/>
    <x v="0"/>
  </r>
  <r>
    <s v="EMP403"/>
    <n v="35"/>
    <s v="Male"/>
    <x v="4"/>
    <s v="Diploma"/>
    <n v="1"/>
    <n v="1320480"/>
    <x v="2"/>
    <x v="9"/>
    <x v="0"/>
    <n v="36"/>
    <n v="1"/>
    <s v="No"/>
    <x v="1"/>
  </r>
  <r>
    <s v="EMP404"/>
    <n v="55"/>
    <s v="Male"/>
    <x v="3"/>
    <s v="Master"/>
    <n v="4"/>
    <n v="345511"/>
    <x v="2"/>
    <x v="6"/>
    <x v="1"/>
    <n v="54"/>
    <n v="3"/>
    <s v="No"/>
    <x v="1"/>
  </r>
  <r>
    <s v="EMP405"/>
    <n v="35"/>
    <s v="Male"/>
    <x v="3"/>
    <s v="Diploma"/>
    <n v="13"/>
    <n v="532967"/>
    <x v="2"/>
    <x v="7"/>
    <x v="0"/>
    <n v="51"/>
    <n v="2"/>
    <s v="No"/>
    <x v="1"/>
  </r>
  <r>
    <s v="EMP406"/>
    <n v="54"/>
    <s v="Male"/>
    <x v="4"/>
    <s v="Master"/>
    <n v="7"/>
    <n v="796039"/>
    <x v="0"/>
    <x v="1"/>
    <x v="1"/>
    <n v="52"/>
    <n v="5"/>
    <s v="No"/>
    <x v="0"/>
  </r>
  <r>
    <s v="EMP407"/>
    <n v="32"/>
    <s v="Male"/>
    <x v="4"/>
    <s v="Bachelor"/>
    <n v="8"/>
    <n v="530983"/>
    <x v="0"/>
    <x v="6"/>
    <x v="1"/>
    <n v="48"/>
    <n v="5"/>
    <s v="No"/>
    <x v="0"/>
  </r>
  <r>
    <s v="EMP408"/>
    <n v="25"/>
    <s v="Female"/>
    <x v="0"/>
    <s v="Master"/>
    <n v="19"/>
    <n v="361509"/>
    <x v="1"/>
    <x v="6"/>
    <x v="0"/>
    <n v="55"/>
    <n v="2"/>
    <s v="No"/>
    <x v="1"/>
  </r>
  <r>
    <s v="EMP409"/>
    <n v="42"/>
    <s v="Male"/>
    <x v="2"/>
    <s v="Diploma"/>
    <n v="20"/>
    <n v="1315371"/>
    <x v="1"/>
    <x v="6"/>
    <x v="1"/>
    <n v="4"/>
    <n v="2"/>
    <s v="No"/>
    <x v="0"/>
  </r>
  <r>
    <s v="EMP410"/>
    <n v="59"/>
    <s v="Female"/>
    <x v="0"/>
    <s v="Diploma"/>
    <n v="15"/>
    <n v="598022"/>
    <x v="0"/>
    <x v="0"/>
    <x v="0"/>
    <n v="43"/>
    <n v="2"/>
    <s v="No"/>
    <x v="0"/>
  </r>
  <r>
    <s v="EMP411"/>
    <n v="25"/>
    <s v="Female"/>
    <x v="1"/>
    <s v="Master"/>
    <n v="12"/>
    <n v="1468245"/>
    <x v="2"/>
    <x v="5"/>
    <x v="0"/>
    <n v="59"/>
    <n v="3"/>
    <s v="No"/>
    <x v="0"/>
  </r>
  <r>
    <s v="EMP412"/>
    <n v="41"/>
    <s v="Female"/>
    <x v="2"/>
    <s v="Bachelor"/>
    <n v="16"/>
    <n v="548764"/>
    <x v="2"/>
    <x v="5"/>
    <x v="0"/>
    <n v="48"/>
    <n v="2"/>
    <s v="No"/>
    <x v="0"/>
  </r>
  <r>
    <s v="EMP413"/>
    <n v="54"/>
    <s v="Female"/>
    <x v="1"/>
    <s v="Bachelor"/>
    <n v="3"/>
    <n v="1284802"/>
    <x v="1"/>
    <x v="3"/>
    <x v="1"/>
    <n v="29"/>
    <n v="3"/>
    <s v="No"/>
    <x v="0"/>
  </r>
  <r>
    <s v="EMP414"/>
    <n v="53"/>
    <s v="Female"/>
    <x v="3"/>
    <s v="MBA"/>
    <n v="5"/>
    <n v="1547564"/>
    <x v="0"/>
    <x v="2"/>
    <x v="1"/>
    <n v="19"/>
    <n v="5"/>
    <s v="Yes"/>
    <x v="0"/>
  </r>
  <r>
    <s v="EMP415"/>
    <n v="44"/>
    <s v="Male"/>
    <x v="1"/>
    <s v="Bachelor"/>
    <n v="14"/>
    <n v="466621"/>
    <x v="1"/>
    <x v="4"/>
    <x v="0"/>
    <n v="46"/>
    <n v="3"/>
    <s v="No"/>
    <x v="1"/>
  </r>
  <r>
    <s v="EMP416"/>
    <n v="33"/>
    <s v="Male"/>
    <x v="0"/>
    <s v="Diploma"/>
    <n v="12"/>
    <n v="1123716"/>
    <x v="2"/>
    <x v="9"/>
    <x v="0"/>
    <n v="5"/>
    <n v="5"/>
    <s v="No"/>
    <x v="1"/>
  </r>
  <r>
    <s v="EMP417"/>
    <n v="33"/>
    <s v="Male"/>
    <x v="4"/>
    <s v="Bachelor"/>
    <n v="9"/>
    <n v="1158478"/>
    <x v="2"/>
    <x v="5"/>
    <x v="1"/>
    <n v="35"/>
    <n v="2"/>
    <s v="No"/>
    <x v="0"/>
  </r>
  <r>
    <s v="EMP418"/>
    <n v="52"/>
    <s v="Male"/>
    <x v="2"/>
    <s v="MBA"/>
    <n v="19"/>
    <n v="1517370"/>
    <x v="0"/>
    <x v="9"/>
    <x v="1"/>
    <n v="48"/>
    <n v="3"/>
    <s v="Yes"/>
    <x v="0"/>
  </r>
  <r>
    <s v="EMP419"/>
    <n v="26"/>
    <s v="Male"/>
    <x v="0"/>
    <s v="Master"/>
    <n v="7"/>
    <n v="548477"/>
    <x v="0"/>
    <x v="8"/>
    <x v="0"/>
    <n v="53"/>
    <n v="1"/>
    <s v="Yes"/>
    <x v="0"/>
  </r>
  <r>
    <s v="EMP420"/>
    <n v="53"/>
    <s v="Female"/>
    <x v="1"/>
    <s v="MBA"/>
    <n v="2"/>
    <n v="1656916"/>
    <x v="1"/>
    <x v="0"/>
    <x v="1"/>
    <n v="32"/>
    <n v="4"/>
    <s v="Yes"/>
    <x v="0"/>
  </r>
  <r>
    <s v="EMP421"/>
    <n v="45"/>
    <s v="Female"/>
    <x v="1"/>
    <s v="Bachelor"/>
    <n v="4"/>
    <n v="1496748"/>
    <x v="1"/>
    <x v="1"/>
    <x v="0"/>
    <n v="12"/>
    <n v="4"/>
    <s v="No"/>
    <x v="0"/>
  </r>
  <r>
    <s v="EMP422"/>
    <n v="55"/>
    <s v="Female"/>
    <x v="0"/>
    <s v="MBA"/>
    <n v="4"/>
    <n v="959909"/>
    <x v="0"/>
    <x v="2"/>
    <x v="0"/>
    <n v="4"/>
    <n v="4"/>
    <s v="No"/>
    <x v="0"/>
  </r>
  <r>
    <s v="EMP423"/>
    <n v="39"/>
    <s v="Male"/>
    <x v="3"/>
    <s v="MBA"/>
    <n v="0"/>
    <n v="1558332"/>
    <x v="1"/>
    <x v="7"/>
    <x v="0"/>
    <n v="57"/>
    <n v="4"/>
    <s v="No"/>
    <x v="1"/>
  </r>
  <r>
    <s v="EMP424"/>
    <n v="54"/>
    <s v="Male"/>
    <x v="4"/>
    <s v="MBA"/>
    <n v="8"/>
    <n v="541401"/>
    <x v="0"/>
    <x v="8"/>
    <x v="1"/>
    <n v="33"/>
    <n v="1"/>
    <s v="Yes"/>
    <x v="0"/>
  </r>
  <r>
    <s v="EMP425"/>
    <n v="45"/>
    <s v="Male"/>
    <x v="0"/>
    <s v="Bachelor"/>
    <n v="15"/>
    <n v="504508"/>
    <x v="1"/>
    <x v="0"/>
    <x v="0"/>
    <n v="26"/>
    <n v="3"/>
    <s v="No"/>
    <x v="0"/>
  </r>
  <r>
    <s v="EMP426"/>
    <n v="51"/>
    <s v="Male"/>
    <x v="4"/>
    <s v="Diploma"/>
    <n v="11"/>
    <n v="1648190"/>
    <x v="2"/>
    <x v="4"/>
    <x v="0"/>
    <n v="55"/>
    <n v="5"/>
    <s v="Yes"/>
    <x v="1"/>
  </r>
  <r>
    <s v="EMP427"/>
    <n v="58"/>
    <s v="Male"/>
    <x v="3"/>
    <s v="Master"/>
    <n v="0"/>
    <n v="740059"/>
    <x v="2"/>
    <x v="6"/>
    <x v="1"/>
    <n v="13"/>
    <n v="3"/>
    <s v="No"/>
    <x v="0"/>
  </r>
  <r>
    <s v="EMP428"/>
    <n v="56"/>
    <s v="Female"/>
    <x v="2"/>
    <s v="Master"/>
    <n v="10"/>
    <n v="560369"/>
    <x v="2"/>
    <x v="6"/>
    <x v="1"/>
    <n v="50"/>
    <n v="2"/>
    <s v="Yes"/>
    <x v="0"/>
  </r>
  <r>
    <s v="EMP429"/>
    <n v="44"/>
    <s v="Female"/>
    <x v="3"/>
    <s v="Diploma"/>
    <n v="10"/>
    <n v="291730"/>
    <x v="2"/>
    <x v="8"/>
    <x v="1"/>
    <n v="29"/>
    <n v="4"/>
    <s v="No"/>
    <x v="0"/>
  </r>
  <r>
    <s v="EMP430"/>
    <n v="42"/>
    <s v="Male"/>
    <x v="3"/>
    <s v="Diploma"/>
    <n v="5"/>
    <n v="947534"/>
    <x v="2"/>
    <x v="0"/>
    <x v="1"/>
    <n v="2"/>
    <n v="3"/>
    <s v="Yes"/>
    <x v="0"/>
  </r>
  <r>
    <s v="EMP431"/>
    <n v="43"/>
    <s v="Male"/>
    <x v="3"/>
    <s v="Master"/>
    <n v="6"/>
    <n v="749734"/>
    <x v="2"/>
    <x v="4"/>
    <x v="1"/>
    <n v="17"/>
    <n v="2"/>
    <s v="No"/>
    <x v="0"/>
  </r>
  <r>
    <s v="EMP432"/>
    <n v="29"/>
    <s v="Male"/>
    <x v="0"/>
    <s v="Master"/>
    <n v="7"/>
    <n v="1682314"/>
    <x v="0"/>
    <x v="1"/>
    <x v="1"/>
    <n v="30"/>
    <n v="5"/>
    <s v="No"/>
    <x v="0"/>
  </r>
  <r>
    <s v="EMP433"/>
    <n v="41"/>
    <s v="Male"/>
    <x v="2"/>
    <s v="Bachelor"/>
    <n v="4"/>
    <n v="653784"/>
    <x v="1"/>
    <x v="1"/>
    <x v="1"/>
    <n v="12"/>
    <n v="3"/>
    <s v="Yes"/>
    <x v="0"/>
  </r>
  <r>
    <s v="EMP434"/>
    <n v="23"/>
    <s v="Female"/>
    <x v="3"/>
    <s v="Bachelor"/>
    <n v="10"/>
    <n v="1623843"/>
    <x v="0"/>
    <x v="3"/>
    <x v="1"/>
    <n v="46"/>
    <n v="3"/>
    <s v="No"/>
    <x v="0"/>
  </r>
  <r>
    <s v="EMP435"/>
    <n v="30"/>
    <s v="Male"/>
    <x v="1"/>
    <s v="Master"/>
    <n v="3"/>
    <n v="1721143"/>
    <x v="2"/>
    <x v="6"/>
    <x v="1"/>
    <n v="8"/>
    <n v="3"/>
    <s v="Yes"/>
    <x v="0"/>
  </r>
  <r>
    <s v="EMP436"/>
    <n v="51"/>
    <s v="Female"/>
    <x v="2"/>
    <s v="Master"/>
    <n v="7"/>
    <n v="1214380"/>
    <x v="2"/>
    <x v="4"/>
    <x v="1"/>
    <n v="12"/>
    <n v="1"/>
    <s v="Yes"/>
    <x v="0"/>
  </r>
  <r>
    <s v="EMP437"/>
    <n v="21"/>
    <s v="Male"/>
    <x v="1"/>
    <s v="MBA"/>
    <n v="8"/>
    <n v="1421048"/>
    <x v="2"/>
    <x v="6"/>
    <x v="0"/>
    <n v="16"/>
    <n v="3"/>
    <s v="No"/>
    <x v="1"/>
  </r>
  <r>
    <s v="EMP438"/>
    <n v="59"/>
    <s v="Female"/>
    <x v="3"/>
    <s v="Bachelor"/>
    <n v="0"/>
    <n v="1733394"/>
    <x v="0"/>
    <x v="0"/>
    <x v="1"/>
    <n v="14"/>
    <n v="3"/>
    <s v="No"/>
    <x v="0"/>
  </r>
  <r>
    <s v="EMP439"/>
    <n v="57"/>
    <s v="Male"/>
    <x v="1"/>
    <s v="Master"/>
    <n v="15"/>
    <n v="1234521"/>
    <x v="1"/>
    <x v="9"/>
    <x v="1"/>
    <n v="2"/>
    <n v="3"/>
    <s v="No"/>
    <x v="0"/>
  </r>
  <r>
    <s v="EMP440"/>
    <n v="21"/>
    <s v="Male"/>
    <x v="4"/>
    <s v="Diploma"/>
    <n v="10"/>
    <n v="768926"/>
    <x v="0"/>
    <x v="9"/>
    <x v="1"/>
    <n v="14"/>
    <n v="3"/>
    <s v="No"/>
    <x v="0"/>
  </r>
  <r>
    <s v="EMP441"/>
    <n v="28"/>
    <s v="Male"/>
    <x v="3"/>
    <s v="Diploma"/>
    <n v="7"/>
    <n v="713454"/>
    <x v="1"/>
    <x v="6"/>
    <x v="1"/>
    <n v="42"/>
    <n v="5"/>
    <s v="No"/>
    <x v="0"/>
  </r>
  <r>
    <s v="EMP442"/>
    <n v="52"/>
    <s v="Female"/>
    <x v="2"/>
    <s v="Master"/>
    <n v="7"/>
    <n v="1056618"/>
    <x v="0"/>
    <x v="7"/>
    <x v="1"/>
    <n v="54"/>
    <n v="1"/>
    <s v="No"/>
    <x v="0"/>
  </r>
  <r>
    <s v="EMP443"/>
    <n v="42"/>
    <s v="Female"/>
    <x v="0"/>
    <s v="Diploma"/>
    <n v="16"/>
    <n v="1159353"/>
    <x v="2"/>
    <x v="0"/>
    <x v="1"/>
    <n v="37"/>
    <n v="5"/>
    <s v="No"/>
    <x v="0"/>
  </r>
  <r>
    <s v="EMP444"/>
    <n v="35"/>
    <s v="Male"/>
    <x v="0"/>
    <s v="MBA"/>
    <n v="1"/>
    <n v="1738627"/>
    <x v="2"/>
    <x v="4"/>
    <x v="0"/>
    <n v="25"/>
    <n v="2"/>
    <s v="No"/>
    <x v="1"/>
  </r>
  <r>
    <s v="EMP445"/>
    <n v="25"/>
    <s v="Female"/>
    <x v="1"/>
    <s v="Diploma"/>
    <n v="8"/>
    <n v="1385834"/>
    <x v="1"/>
    <x v="3"/>
    <x v="0"/>
    <n v="32"/>
    <n v="4"/>
    <s v="Yes"/>
    <x v="0"/>
  </r>
  <r>
    <s v="EMP446"/>
    <n v="46"/>
    <s v="Male"/>
    <x v="2"/>
    <s v="Diploma"/>
    <n v="11"/>
    <n v="1507933"/>
    <x v="1"/>
    <x v="1"/>
    <x v="1"/>
    <n v="58"/>
    <n v="2"/>
    <s v="Yes"/>
    <x v="0"/>
  </r>
  <r>
    <s v="EMP447"/>
    <n v="46"/>
    <s v="Male"/>
    <x v="1"/>
    <s v="Bachelor"/>
    <n v="3"/>
    <n v="578407"/>
    <x v="0"/>
    <x v="2"/>
    <x v="0"/>
    <n v="3"/>
    <n v="5"/>
    <s v="Yes"/>
    <x v="0"/>
  </r>
  <r>
    <s v="EMP448"/>
    <n v="51"/>
    <s v="Male"/>
    <x v="4"/>
    <s v="Master"/>
    <n v="4"/>
    <n v="338129"/>
    <x v="1"/>
    <x v="6"/>
    <x v="0"/>
    <n v="44"/>
    <n v="2"/>
    <s v="Yes"/>
    <x v="1"/>
  </r>
  <r>
    <s v="EMP449"/>
    <n v="42"/>
    <s v="Female"/>
    <x v="4"/>
    <s v="MBA"/>
    <n v="7"/>
    <n v="975501"/>
    <x v="1"/>
    <x v="3"/>
    <x v="1"/>
    <n v="59"/>
    <n v="4"/>
    <s v="No"/>
    <x v="0"/>
  </r>
  <r>
    <s v="EMP450"/>
    <n v="55"/>
    <s v="Male"/>
    <x v="0"/>
    <s v="Master"/>
    <n v="20"/>
    <n v="355305"/>
    <x v="2"/>
    <x v="5"/>
    <x v="1"/>
    <n v="7"/>
    <n v="2"/>
    <s v="No"/>
    <x v="0"/>
  </r>
  <r>
    <s v="EMP451"/>
    <n v="56"/>
    <s v="Female"/>
    <x v="2"/>
    <s v="Bachelor"/>
    <n v="18"/>
    <n v="1520569"/>
    <x v="1"/>
    <x v="4"/>
    <x v="1"/>
    <n v="36"/>
    <n v="5"/>
    <s v="No"/>
    <x v="0"/>
  </r>
  <r>
    <s v="EMP452"/>
    <n v="52"/>
    <s v="Male"/>
    <x v="3"/>
    <s v="Diploma"/>
    <n v="20"/>
    <n v="1431220"/>
    <x v="2"/>
    <x v="6"/>
    <x v="1"/>
    <n v="23"/>
    <n v="5"/>
    <s v="Yes"/>
    <x v="0"/>
  </r>
  <r>
    <s v="EMP453"/>
    <n v="31"/>
    <s v="Male"/>
    <x v="4"/>
    <s v="Bachelor"/>
    <n v="2"/>
    <n v="257819"/>
    <x v="0"/>
    <x v="2"/>
    <x v="0"/>
    <n v="48"/>
    <n v="3"/>
    <s v="No"/>
    <x v="0"/>
  </r>
  <r>
    <s v="EMP454"/>
    <n v="59"/>
    <s v="Female"/>
    <x v="3"/>
    <s v="MBA"/>
    <n v="15"/>
    <n v="416133"/>
    <x v="0"/>
    <x v="9"/>
    <x v="1"/>
    <n v="1"/>
    <n v="5"/>
    <s v="No"/>
    <x v="0"/>
  </r>
  <r>
    <s v="EMP455"/>
    <n v="58"/>
    <s v="Female"/>
    <x v="0"/>
    <s v="MBA"/>
    <n v="10"/>
    <n v="1549143"/>
    <x v="0"/>
    <x v="6"/>
    <x v="1"/>
    <n v="4"/>
    <n v="3"/>
    <s v="No"/>
    <x v="0"/>
  </r>
  <r>
    <s v="EMP456"/>
    <n v="36"/>
    <s v="Male"/>
    <x v="3"/>
    <s v="Bachelor"/>
    <n v="8"/>
    <n v="1138882"/>
    <x v="2"/>
    <x v="6"/>
    <x v="1"/>
    <n v="9"/>
    <n v="5"/>
    <s v="No"/>
    <x v="0"/>
  </r>
  <r>
    <s v="EMP457"/>
    <n v="29"/>
    <s v="Female"/>
    <x v="0"/>
    <s v="Bachelor"/>
    <n v="20"/>
    <n v="1070175"/>
    <x v="0"/>
    <x v="2"/>
    <x v="1"/>
    <n v="0"/>
    <n v="3"/>
    <s v="No"/>
    <x v="0"/>
  </r>
  <r>
    <s v="EMP458"/>
    <n v="46"/>
    <s v="Female"/>
    <x v="2"/>
    <s v="Diploma"/>
    <n v="3"/>
    <n v="1034977"/>
    <x v="1"/>
    <x v="1"/>
    <x v="1"/>
    <n v="7"/>
    <n v="5"/>
    <s v="Yes"/>
    <x v="0"/>
  </r>
  <r>
    <s v="EMP459"/>
    <n v="40"/>
    <s v="Male"/>
    <x v="1"/>
    <s v="MBA"/>
    <n v="13"/>
    <n v="1287942"/>
    <x v="0"/>
    <x v="4"/>
    <x v="1"/>
    <n v="5"/>
    <n v="2"/>
    <s v="No"/>
    <x v="0"/>
  </r>
  <r>
    <s v="EMP460"/>
    <n v="40"/>
    <s v="Female"/>
    <x v="1"/>
    <s v="Bachelor"/>
    <n v="18"/>
    <n v="1076433"/>
    <x v="0"/>
    <x v="5"/>
    <x v="1"/>
    <n v="37"/>
    <n v="1"/>
    <s v="No"/>
    <x v="0"/>
  </r>
  <r>
    <s v="EMP461"/>
    <n v="55"/>
    <s v="Male"/>
    <x v="0"/>
    <s v="Master"/>
    <n v="12"/>
    <n v="1457316"/>
    <x v="0"/>
    <x v="1"/>
    <x v="1"/>
    <n v="25"/>
    <n v="2"/>
    <s v="Yes"/>
    <x v="0"/>
  </r>
  <r>
    <s v="EMP462"/>
    <n v="55"/>
    <s v="Female"/>
    <x v="0"/>
    <s v="Diploma"/>
    <n v="18"/>
    <n v="925891"/>
    <x v="0"/>
    <x v="3"/>
    <x v="1"/>
    <n v="60"/>
    <n v="4"/>
    <s v="No"/>
    <x v="0"/>
  </r>
  <r>
    <s v="EMP463"/>
    <n v="56"/>
    <s v="Female"/>
    <x v="2"/>
    <s v="MBA"/>
    <n v="5"/>
    <n v="1069446"/>
    <x v="1"/>
    <x v="2"/>
    <x v="1"/>
    <n v="54"/>
    <n v="5"/>
    <s v="Yes"/>
    <x v="0"/>
  </r>
  <r>
    <s v="EMP464"/>
    <n v="53"/>
    <s v="Male"/>
    <x v="1"/>
    <s v="Master"/>
    <n v="9"/>
    <n v="1111084"/>
    <x v="1"/>
    <x v="8"/>
    <x v="1"/>
    <n v="3"/>
    <n v="3"/>
    <s v="No"/>
    <x v="0"/>
  </r>
  <r>
    <s v="EMP465"/>
    <n v="31"/>
    <s v="Female"/>
    <x v="0"/>
    <s v="Diploma"/>
    <n v="7"/>
    <n v="1086149"/>
    <x v="0"/>
    <x v="8"/>
    <x v="1"/>
    <n v="56"/>
    <n v="5"/>
    <s v="No"/>
    <x v="0"/>
  </r>
  <r>
    <s v="EMP466"/>
    <n v="40"/>
    <s v="Female"/>
    <x v="2"/>
    <s v="MBA"/>
    <n v="7"/>
    <n v="1424713"/>
    <x v="1"/>
    <x v="2"/>
    <x v="1"/>
    <n v="28"/>
    <n v="1"/>
    <s v="Yes"/>
    <x v="0"/>
  </r>
  <r>
    <s v="EMP467"/>
    <n v="25"/>
    <s v="Female"/>
    <x v="0"/>
    <s v="MBA"/>
    <n v="3"/>
    <n v="505696"/>
    <x v="0"/>
    <x v="1"/>
    <x v="1"/>
    <n v="11"/>
    <n v="5"/>
    <s v="No"/>
    <x v="0"/>
  </r>
  <r>
    <s v="EMP468"/>
    <n v="38"/>
    <s v="Female"/>
    <x v="0"/>
    <s v="Bachelor"/>
    <n v="9"/>
    <n v="433952"/>
    <x v="0"/>
    <x v="7"/>
    <x v="1"/>
    <n v="31"/>
    <n v="5"/>
    <s v="No"/>
    <x v="0"/>
  </r>
  <r>
    <s v="EMP469"/>
    <n v="21"/>
    <s v="Female"/>
    <x v="4"/>
    <s v="Diploma"/>
    <n v="12"/>
    <n v="498851"/>
    <x v="0"/>
    <x v="2"/>
    <x v="0"/>
    <n v="20"/>
    <n v="2"/>
    <s v="No"/>
    <x v="0"/>
  </r>
  <r>
    <s v="EMP470"/>
    <n v="42"/>
    <s v="Female"/>
    <x v="4"/>
    <s v="Master"/>
    <n v="20"/>
    <n v="1091917"/>
    <x v="0"/>
    <x v="0"/>
    <x v="0"/>
    <n v="32"/>
    <n v="2"/>
    <s v="No"/>
    <x v="0"/>
  </r>
  <r>
    <s v="EMP471"/>
    <n v="55"/>
    <s v="Male"/>
    <x v="2"/>
    <s v="Bachelor"/>
    <n v="7"/>
    <n v="372806"/>
    <x v="1"/>
    <x v="7"/>
    <x v="0"/>
    <n v="30"/>
    <n v="5"/>
    <s v="No"/>
    <x v="1"/>
  </r>
  <r>
    <s v="EMP472"/>
    <n v="25"/>
    <s v="Female"/>
    <x v="1"/>
    <s v="Master"/>
    <n v="17"/>
    <n v="1421174"/>
    <x v="0"/>
    <x v="3"/>
    <x v="1"/>
    <n v="59"/>
    <n v="2"/>
    <s v="Yes"/>
    <x v="0"/>
  </r>
  <r>
    <s v="EMP473"/>
    <n v="57"/>
    <s v="Female"/>
    <x v="4"/>
    <s v="Bachelor"/>
    <n v="18"/>
    <n v="1354417"/>
    <x v="1"/>
    <x v="5"/>
    <x v="1"/>
    <n v="26"/>
    <n v="1"/>
    <s v="No"/>
    <x v="0"/>
  </r>
  <r>
    <s v="EMP474"/>
    <n v="53"/>
    <s v="Male"/>
    <x v="0"/>
    <s v="Diploma"/>
    <n v="15"/>
    <n v="463782"/>
    <x v="0"/>
    <x v="8"/>
    <x v="0"/>
    <n v="34"/>
    <n v="5"/>
    <s v="No"/>
    <x v="0"/>
  </r>
  <r>
    <s v="EMP475"/>
    <n v="31"/>
    <s v="Female"/>
    <x v="4"/>
    <s v="Master"/>
    <n v="16"/>
    <n v="1477776"/>
    <x v="0"/>
    <x v="7"/>
    <x v="0"/>
    <n v="9"/>
    <n v="1"/>
    <s v="No"/>
    <x v="1"/>
  </r>
  <r>
    <s v="EMP476"/>
    <n v="44"/>
    <s v="Female"/>
    <x v="2"/>
    <s v="Diploma"/>
    <n v="6"/>
    <n v="1635331"/>
    <x v="0"/>
    <x v="9"/>
    <x v="1"/>
    <n v="6"/>
    <n v="2"/>
    <s v="No"/>
    <x v="0"/>
  </r>
  <r>
    <s v="EMP477"/>
    <n v="41"/>
    <s v="Female"/>
    <x v="4"/>
    <s v="Diploma"/>
    <n v="5"/>
    <n v="1189255"/>
    <x v="1"/>
    <x v="7"/>
    <x v="0"/>
    <n v="16"/>
    <n v="2"/>
    <s v="No"/>
    <x v="1"/>
  </r>
  <r>
    <s v="EMP478"/>
    <n v="46"/>
    <s v="Male"/>
    <x v="2"/>
    <s v="Bachelor"/>
    <n v="11"/>
    <n v="575428"/>
    <x v="2"/>
    <x v="8"/>
    <x v="1"/>
    <n v="46"/>
    <n v="1"/>
    <s v="Yes"/>
    <x v="0"/>
  </r>
  <r>
    <s v="EMP479"/>
    <n v="22"/>
    <s v="Male"/>
    <x v="1"/>
    <s v="MBA"/>
    <n v="16"/>
    <n v="1437926"/>
    <x v="0"/>
    <x v="1"/>
    <x v="0"/>
    <n v="53"/>
    <n v="3"/>
    <s v="No"/>
    <x v="0"/>
  </r>
  <r>
    <s v="EMP480"/>
    <n v="36"/>
    <s v="Male"/>
    <x v="2"/>
    <s v="Bachelor"/>
    <n v="13"/>
    <n v="627991"/>
    <x v="2"/>
    <x v="6"/>
    <x v="0"/>
    <n v="44"/>
    <n v="5"/>
    <s v="No"/>
    <x v="1"/>
  </r>
  <r>
    <s v="EMP481"/>
    <n v="41"/>
    <s v="Female"/>
    <x v="0"/>
    <s v="MBA"/>
    <n v="5"/>
    <n v="565759"/>
    <x v="0"/>
    <x v="7"/>
    <x v="1"/>
    <n v="8"/>
    <n v="3"/>
    <s v="No"/>
    <x v="0"/>
  </r>
  <r>
    <s v="EMP482"/>
    <n v="45"/>
    <s v="Male"/>
    <x v="2"/>
    <s v="Master"/>
    <n v="5"/>
    <n v="982082"/>
    <x v="0"/>
    <x v="3"/>
    <x v="1"/>
    <n v="12"/>
    <n v="2"/>
    <s v="No"/>
    <x v="0"/>
  </r>
  <r>
    <s v="EMP483"/>
    <n v="50"/>
    <s v="Female"/>
    <x v="1"/>
    <s v="MBA"/>
    <n v="4"/>
    <n v="1501187"/>
    <x v="0"/>
    <x v="5"/>
    <x v="0"/>
    <n v="42"/>
    <n v="2"/>
    <s v="No"/>
    <x v="0"/>
  </r>
  <r>
    <s v="EMP484"/>
    <n v="39"/>
    <s v="Female"/>
    <x v="0"/>
    <s v="Master"/>
    <n v="19"/>
    <n v="383957"/>
    <x v="2"/>
    <x v="7"/>
    <x v="0"/>
    <n v="24"/>
    <n v="1"/>
    <s v="Yes"/>
    <x v="1"/>
  </r>
  <r>
    <s v="EMP485"/>
    <n v="37"/>
    <s v="Male"/>
    <x v="3"/>
    <s v="Diploma"/>
    <n v="15"/>
    <n v="572402"/>
    <x v="0"/>
    <x v="1"/>
    <x v="0"/>
    <n v="57"/>
    <n v="5"/>
    <s v="No"/>
    <x v="0"/>
  </r>
  <r>
    <s v="EMP486"/>
    <n v="25"/>
    <s v="Male"/>
    <x v="4"/>
    <s v="MBA"/>
    <n v="20"/>
    <n v="725555"/>
    <x v="1"/>
    <x v="1"/>
    <x v="0"/>
    <n v="42"/>
    <n v="1"/>
    <s v="No"/>
    <x v="0"/>
  </r>
  <r>
    <s v="EMP487"/>
    <n v="25"/>
    <s v="Female"/>
    <x v="4"/>
    <s v="MBA"/>
    <n v="14"/>
    <n v="901223"/>
    <x v="0"/>
    <x v="6"/>
    <x v="1"/>
    <n v="53"/>
    <n v="1"/>
    <s v="No"/>
    <x v="0"/>
  </r>
  <r>
    <s v="EMP488"/>
    <n v="30"/>
    <s v="Female"/>
    <x v="2"/>
    <s v="Master"/>
    <n v="7"/>
    <n v="1333879"/>
    <x v="1"/>
    <x v="8"/>
    <x v="1"/>
    <n v="49"/>
    <n v="1"/>
    <s v="Yes"/>
    <x v="0"/>
  </r>
  <r>
    <s v="EMP489"/>
    <n v="58"/>
    <s v="Male"/>
    <x v="2"/>
    <s v="MBA"/>
    <n v="5"/>
    <n v="1224018"/>
    <x v="2"/>
    <x v="5"/>
    <x v="0"/>
    <n v="51"/>
    <n v="3"/>
    <s v="Yes"/>
    <x v="0"/>
  </r>
  <r>
    <s v="EMP490"/>
    <n v="33"/>
    <s v="Male"/>
    <x v="2"/>
    <s v="Bachelor"/>
    <n v="20"/>
    <n v="479996"/>
    <x v="0"/>
    <x v="6"/>
    <x v="1"/>
    <n v="47"/>
    <n v="5"/>
    <s v="No"/>
    <x v="0"/>
  </r>
  <r>
    <s v="EMP491"/>
    <n v="30"/>
    <s v="Male"/>
    <x v="4"/>
    <s v="Master"/>
    <n v="7"/>
    <n v="1478075"/>
    <x v="2"/>
    <x v="1"/>
    <x v="1"/>
    <n v="23"/>
    <n v="5"/>
    <s v="No"/>
    <x v="0"/>
  </r>
  <r>
    <s v="EMP492"/>
    <n v="59"/>
    <s v="Female"/>
    <x v="2"/>
    <s v="Bachelor"/>
    <n v="5"/>
    <n v="324362"/>
    <x v="1"/>
    <x v="7"/>
    <x v="0"/>
    <n v="47"/>
    <n v="1"/>
    <s v="No"/>
    <x v="1"/>
  </r>
  <r>
    <s v="EMP493"/>
    <n v="56"/>
    <s v="Male"/>
    <x v="1"/>
    <s v="Bachelor"/>
    <n v="9"/>
    <n v="327847"/>
    <x v="2"/>
    <x v="0"/>
    <x v="1"/>
    <n v="9"/>
    <n v="5"/>
    <s v="No"/>
    <x v="0"/>
  </r>
  <r>
    <s v="EMP494"/>
    <n v="49"/>
    <s v="Male"/>
    <x v="2"/>
    <s v="Diploma"/>
    <n v="12"/>
    <n v="563552"/>
    <x v="0"/>
    <x v="6"/>
    <x v="1"/>
    <n v="30"/>
    <n v="1"/>
    <s v="No"/>
    <x v="0"/>
  </r>
  <r>
    <s v="EMP495"/>
    <n v="43"/>
    <s v="Male"/>
    <x v="1"/>
    <s v="MBA"/>
    <n v="19"/>
    <n v="1327524"/>
    <x v="0"/>
    <x v="9"/>
    <x v="0"/>
    <n v="30"/>
    <n v="2"/>
    <s v="No"/>
    <x v="1"/>
  </r>
  <r>
    <s v="EMP496"/>
    <n v="55"/>
    <s v="Female"/>
    <x v="3"/>
    <s v="Master"/>
    <n v="4"/>
    <n v="1539038"/>
    <x v="2"/>
    <x v="0"/>
    <x v="0"/>
    <n v="36"/>
    <n v="3"/>
    <s v="No"/>
    <x v="0"/>
  </r>
  <r>
    <s v="EMP497"/>
    <n v="55"/>
    <s v="Male"/>
    <x v="0"/>
    <s v="MBA"/>
    <n v="19"/>
    <n v="1105799"/>
    <x v="0"/>
    <x v="4"/>
    <x v="1"/>
    <n v="39"/>
    <n v="5"/>
    <s v="Yes"/>
    <x v="0"/>
  </r>
  <r>
    <s v="EMP498"/>
    <n v="24"/>
    <s v="Male"/>
    <x v="1"/>
    <s v="Diploma"/>
    <n v="8"/>
    <n v="1043021"/>
    <x v="2"/>
    <x v="7"/>
    <x v="1"/>
    <n v="51"/>
    <n v="2"/>
    <s v="No"/>
    <x v="0"/>
  </r>
  <r>
    <s v="EMP499"/>
    <n v="43"/>
    <s v="Male"/>
    <x v="1"/>
    <s v="Diploma"/>
    <n v="1"/>
    <n v="894000"/>
    <x v="2"/>
    <x v="0"/>
    <x v="0"/>
    <n v="60"/>
    <n v="3"/>
    <s v="No"/>
    <x v="1"/>
  </r>
  <r>
    <s v="EMP500"/>
    <n v="46"/>
    <s v="Male"/>
    <x v="3"/>
    <s v="Bachelor"/>
    <n v="19"/>
    <n v="1103007"/>
    <x v="2"/>
    <x v="0"/>
    <x v="0"/>
    <n v="49"/>
    <n v="4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9" firstHeaderRow="1" firstDataRow="1" firstDataCol="1" rowPageCount="1" colPageCount="1"/>
  <pivotFields count="14">
    <pivotField dataField="1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3" item="1" hier="-1"/>
  </pageFields>
  <dataFields count="1">
    <dataField name="Count of Employee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6" firstHeaderRow="1" firstDataRow="1" firstDataCol="1" rowPageCount="1" colPageCount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1">
    <pageField fld="13" item="1" hier="-1"/>
  </pageFields>
  <dataFields count="1">
    <dataField name="Count of Employee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3" firstHeaderRow="1" firstDataRow="1" firstDataCol="1" rowPageCount="1" colPageCount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6"/>
        <item x="9"/>
        <item x="7"/>
        <item x="3"/>
        <item x="1"/>
        <item x="5"/>
        <item x="2"/>
        <item x="0"/>
        <item x="8"/>
        <item t="default"/>
      </items>
    </pivotField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rowItems>
  <colItems count="1">
    <i/>
  </colItems>
  <pageFields count="1">
    <pageField fld="13" item="1" hier="-1"/>
  </pageFields>
  <dataFields count="1">
    <dataField name="Count of EmployeeID" fld="0" subtotal="count" baseField="0" baseItem="0"/>
  </dataFields>
  <formats count="4">
    <format dxfId="3">
      <pivotArea dataOnly="0" labelOnly="1" outline="0" fieldPosition="0">
        <references count="1">
          <reference field="13" count="0"/>
        </references>
      </pivotArea>
    </format>
    <format dxfId="2">
      <pivotArea dataOnly="0" labelOnly="1" outline="0" fieldPosition="0">
        <references count="1">
          <reference field="13" count="0"/>
        </references>
      </pivotArea>
    </format>
    <format dxfId="1">
      <pivotArea dataOnly="0" labelOnly="1" outline="0" fieldPosition="0">
        <references count="1">
          <reference field="13" count="0"/>
        </references>
      </pivotArea>
    </format>
    <format dxfId="0">
      <pivotArea dataOnly="0" labelOnly="1" outline="0" fieldPosition="0">
        <references count="1">
          <reference field="13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7" firstHeaderRow="1" firstDataRow="1" firstDataCol="1" rowPageCount="1" colPageCount="1"/>
  <pivotFields count="14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3" item="1" hier="-1"/>
  </pageFields>
  <dataFields count="1">
    <dataField name="Count of Employee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N501" totalsRowShown="0">
  <autoFilter ref="A1:N501"/>
  <tableColumns count="14">
    <tableColumn id="1" name="EmployeeID"/>
    <tableColumn id="2" name="Age"/>
    <tableColumn id="3" name="Gender"/>
    <tableColumn id="4" name="Department"/>
    <tableColumn id="5" name="Education"/>
    <tableColumn id="6" name="ExperienceYears"/>
    <tableColumn id="7" name="Salary"/>
    <tableColumn id="8" name="WorkMode"/>
    <tableColumn id="9" name="SatisfactionScore"/>
    <tableColumn id="10" name="Overtime"/>
    <tableColumn id="11" name="TrainingHours"/>
    <tableColumn id="12" name="PerformanceRating"/>
    <tableColumn id="13" name="PromotionLast3Years"/>
    <tableColumn id="14" name="Attrition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workbookViewId="0">
      <selection activeCell="B17" sqref="B17"/>
    </sheetView>
  </sheetViews>
  <sheetFormatPr defaultRowHeight="15"/>
  <cols>
    <col min="1" max="8" width="18" customWidth="1"/>
    <col min="9" max="9" width="18.28515625" customWidth="1"/>
    <col min="10" max="11" width="18" customWidth="1"/>
    <col min="12" max="12" width="20.140625" customWidth="1"/>
    <col min="13" max="13" width="21.7109375" customWidth="1"/>
    <col min="14" max="14" width="18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33</v>
      </c>
      <c r="C2" t="s">
        <v>15</v>
      </c>
      <c r="D2" t="s">
        <v>16</v>
      </c>
      <c r="E2" t="s">
        <v>17</v>
      </c>
      <c r="F2">
        <v>15</v>
      </c>
      <c r="G2">
        <v>715308</v>
      </c>
      <c r="H2" t="s">
        <v>18</v>
      </c>
      <c r="I2">
        <v>9</v>
      </c>
      <c r="J2" t="s">
        <v>19</v>
      </c>
      <c r="K2">
        <v>56</v>
      </c>
      <c r="L2">
        <v>5</v>
      </c>
      <c r="M2" t="s">
        <v>19</v>
      </c>
      <c r="N2" t="s">
        <v>20</v>
      </c>
    </row>
    <row r="3" spans="1:14">
      <c r="A3" t="s">
        <v>21</v>
      </c>
      <c r="B3">
        <v>53</v>
      </c>
      <c r="C3" t="s">
        <v>22</v>
      </c>
      <c r="D3" t="s">
        <v>16</v>
      </c>
      <c r="E3" t="s">
        <v>23</v>
      </c>
      <c r="F3">
        <v>9</v>
      </c>
      <c r="G3">
        <v>267469</v>
      </c>
      <c r="H3" t="s">
        <v>18</v>
      </c>
      <c r="I3">
        <v>6</v>
      </c>
      <c r="J3" t="s">
        <v>20</v>
      </c>
      <c r="K3">
        <v>52</v>
      </c>
      <c r="L3">
        <v>3</v>
      </c>
      <c r="M3" t="s">
        <v>19</v>
      </c>
      <c r="N3" t="s">
        <v>20</v>
      </c>
    </row>
    <row r="4" spans="1:14">
      <c r="A4" t="s">
        <v>24</v>
      </c>
      <c r="B4">
        <v>25</v>
      </c>
      <c r="C4" t="s">
        <v>15</v>
      </c>
      <c r="D4" t="s">
        <v>25</v>
      </c>
      <c r="E4" t="s">
        <v>23</v>
      </c>
      <c r="F4">
        <v>7</v>
      </c>
      <c r="G4">
        <v>913427</v>
      </c>
      <c r="H4" t="s">
        <v>18</v>
      </c>
      <c r="I4">
        <v>8</v>
      </c>
      <c r="J4" t="s">
        <v>20</v>
      </c>
      <c r="K4">
        <v>57</v>
      </c>
      <c r="L4">
        <v>3</v>
      </c>
      <c r="M4" t="s">
        <v>20</v>
      </c>
      <c r="N4" t="s">
        <v>20</v>
      </c>
    </row>
    <row r="5" spans="1:14">
      <c r="A5" t="s">
        <v>26</v>
      </c>
      <c r="B5">
        <v>32</v>
      </c>
      <c r="C5" t="s">
        <v>22</v>
      </c>
      <c r="D5" t="s">
        <v>27</v>
      </c>
      <c r="E5" t="s">
        <v>23</v>
      </c>
      <c r="F5">
        <v>15</v>
      </c>
      <c r="G5">
        <v>833850</v>
      </c>
      <c r="H5" t="s">
        <v>28</v>
      </c>
      <c r="I5">
        <v>5</v>
      </c>
      <c r="J5" t="s">
        <v>20</v>
      </c>
      <c r="K5">
        <v>14</v>
      </c>
      <c r="L5">
        <v>5</v>
      </c>
      <c r="M5" t="s">
        <v>20</v>
      </c>
      <c r="N5" t="s">
        <v>20</v>
      </c>
    </row>
    <row r="6" spans="1:14">
      <c r="A6" t="s">
        <v>29</v>
      </c>
      <c r="B6">
        <v>24</v>
      </c>
      <c r="C6" t="s">
        <v>22</v>
      </c>
      <c r="D6" t="s">
        <v>30</v>
      </c>
      <c r="E6" t="s">
        <v>31</v>
      </c>
      <c r="F6">
        <v>3</v>
      </c>
      <c r="G6">
        <v>319462</v>
      </c>
      <c r="H6" t="s">
        <v>18</v>
      </c>
      <c r="I6">
        <v>9</v>
      </c>
      <c r="J6" t="s">
        <v>19</v>
      </c>
      <c r="K6">
        <v>39</v>
      </c>
      <c r="L6">
        <v>5</v>
      </c>
      <c r="M6" t="s">
        <v>20</v>
      </c>
      <c r="N6" t="s">
        <v>20</v>
      </c>
    </row>
    <row r="7" spans="1:14">
      <c r="A7" t="s">
        <v>32</v>
      </c>
      <c r="B7">
        <v>27</v>
      </c>
      <c r="C7" t="s">
        <v>22</v>
      </c>
      <c r="D7" t="s">
        <v>30</v>
      </c>
      <c r="E7" t="s">
        <v>33</v>
      </c>
      <c r="F7">
        <v>19</v>
      </c>
      <c r="G7">
        <v>1568606</v>
      </c>
      <c r="H7" t="s">
        <v>34</v>
      </c>
      <c r="I7">
        <v>1</v>
      </c>
      <c r="J7" t="s">
        <v>20</v>
      </c>
      <c r="K7">
        <v>32</v>
      </c>
      <c r="L7">
        <v>1</v>
      </c>
      <c r="M7" t="s">
        <v>20</v>
      </c>
      <c r="N7" t="s">
        <v>20</v>
      </c>
    </row>
    <row r="8" spans="1:14">
      <c r="A8" t="s">
        <v>35</v>
      </c>
      <c r="B8">
        <v>41</v>
      </c>
      <c r="C8" t="s">
        <v>22</v>
      </c>
      <c r="D8" t="s">
        <v>36</v>
      </c>
      <c r="E8" t="s">
        <v>17</v>
      </c>
      <c r="F8">
        <v>20</v>
      </c>
      <c r="G8">
        <v>394127</v>
      </c>
      <c r="H8" t="s">
        <v>18</v>
      </c>
      <c r="I8">
        <v>8</v>
      </c>
      <c r="J8" t="s">
        <v>19</v>
      </c>
      <c r="K8">
        <v>13</v>
      </c>
      <c r="L8">
        <v>2</v>
      </c>
      <c r="M8" t="s">
        <v>19</v>
      </c>
      <c r="N8" t="s">
        <v>20</v>
      </c>
    </row>
    <row r="9" spans="1:14">
      <c r="A9" t="s">
        <v>37</v>
      </c>
      <c r="B9">
        <v>24</v>
      </c>
      <c r="C9" t="s">
        <v>15</v>
      </c>
      <c r="D9" t="s">
        <v>16</v>
      </c>
      <c r="E9" t="s">
        <v>23</v>
      </c>
      <c r="F9">
        <v>13</v>
      </c>
      <c r="G9">
        <v>1084943</v>
      </c>
      <c r="H9" t="s">
        <v>34</v>
      </c>
      <c r="I9">
        <v>7</v>
      </c>
      <c r="J9" t="s">
        <v>20</v>
      </c>
      <c r="K9">
        <v>38</v>
      </c>
      <c r="L9">
        <v>4</v>
      </c>
      <c r="M9" t="s">
        <v>19</v>
      </c>
      <c r="N9" t="s">
        <v>20</v>
      </c>
    </row>
    <row r="10" spans="1:14">
      <c r="A10" t="s">
        <v>38</v>
      </c>
      <c r="B10">
        <v>54</v>
      </c>
      <c r="C10" t="s">
        <v>22</v>
      </c>
      <c r="D10" t="s">
        <v>30</v>
      </c>
      <c r="E10" t="s">
        <v>31</v>
      </c>
      <c r="F10">
        <v>12</v>
      </c>
      <c r="G10">
        <v>1147412</v>
      </c>
      <c r="H10" t="s">
        <v>28</v>
      </c>
      <c r="I10">
        <v>2</v>
      </c>
      <c r="J10" t="s">
        <v>20</v>
      </c>
      <c r="K10">
        <v>5</v>
      </c>
      <c r="L10">
        <v>2</v>
      </c>
      <c r="M10" t="s">
        <v>20</v>
      </c>
      <c r="N10" t="s">
        <v>20</v>
      </c>
    </row>
    <row r="11" spans="1:14">
      <c r="A11" t="s">
        <v>39</v>
      </c>
      <c r="B11">
        <v>28</v>
      </c>
      <c r="C11" t="s">
        <v>22</v>
      </c>
      <c r="D11" t="s">
        <v>16</v>
      </c>
      <c r="E11" t="s">
        <v>23</v>
      </c>
      <c r="F11">
        <v>10</v>
      </c>
      <c r="G11">
        <v>1770290</v>
      </c>
      <c r="H11" t="s">
        <v>34</v>
      </c>
      <c r="I11">
        <v>4</v>
      </c>
      <c r="J11" t="s">
        <v>20</v>
      </c>
      <c r="K11">
        <v>60</v>
      </c>
      <c r="L11">
        <v>4</v>
      </c>
      <c r="M11" t="s">
        <v>20</v>
      </c>
      <c r="N11" t="s">
        <v>20</v>
      </c>
    </row>
    <row r="12" spans="1:14">
      <c r="A12" t="s">
        <v>40</v>
      </c>
      <c r="B12">
        <v>34</v>
      </c>
      <c r="C12" t="s">
        <v>15</v>
      </c>
      <c r="D12" t="s">
        <v>36</v>
      </c>
      <c r="E12" t="s">
        <v>17</v>
      </c>
      <c r="F12">
        <v>6</v>
      </c>
      <c r="G12">
        <v>801598</v>
      </c>
      <c r="H12" t="s">
        <v>28</v>
      </c>
      <c r="I12">
        <v>4</v>
      </c>
      <c r="J12" t="s">
        <v>20</v>
      </c>
      <c r="K12">
        <v>60</v>
      </c>
      <c r="L12">
        <v>2</v>
      </c>
      <c r="M12" t="s">
        <v>20</v>
      </c>
      <c r="N12" t="s">
        <v>20</v>
      </c>
    </row>
    <row r="13" spans="1:14">
      <c r="A13" t="s">
        <v>41</v>
      </c>
      <c r="B13">
        <v>43</v>
      </c>
      <c r="C13" t="s">
        <v>15</v>
      </c>
      <c r="D13" t="s">
        <v>16</v>
      </c>
      <c r="E13" t="s">
        <v>31</v>
      </c>
      <c r="F13">
        <v>8</v>
      </c>
      <c r="G13">
        <v>1477324</v>
      </c>
      <c r="H13" t="s">
        <v>34</v>
      </c>
      <c r="I13">
        <v>7</v>
      </c>
      <c r="J13" t="s">
        <v>20</v>
      </c>
      <c r="K13">
        <v>36</v>
      </c>
      <c r="L13">
        <v>3</v>
      </c>
      <c r="M13" t="s">
        <v>20</v>
      </c>
      <c r="N13" t="s">
        <v>20</v>
      </c>
    </row>
    <row r="14" spans="1:14">
      <c r="A14" t="s">
        <v>42</v>
      </c>
      <c r="B14">
        <v>45</v>
      </c>
      <c r="C14" t="s">
        <v>15</v>
      </c>
      <c r="D14" t="s">
        <v>27</v>
      </c>
      <c r="E14" t="s">
        <v>31</v>
      </c>
      <c r="F14">
        <v>20</v>
      </c>
      <c r="G14">
        <v>1270881</v>
      </c>
      <c r="H14" t="s">
        <v>28</v>
      </c>
      <c r="I14">
        <v>10</v>
      </c>
      <c r="J14" t="s">
        <v>19</v>
      </c>
      <c r="K14">
        <v>25</v>
      </c>
      <c r="L14">
        <v>1</v>
      </c>
      <c r="M14" t="s">
        <v>20</v>
      </c>
      <c r="N14" t="s">
        <v>20</v>
      </c>
    </row>
    <row r="15" spans="1:14">
      <c r="A15" t="s">
        <v>43</v>
      </c>
      <c r="B15">
        <v>28</v>
      </c>
      <c r="C15" t="s">
        <v>15</v>
      </c>
      <c r="D15" t="s">
        <v>30</v>
      </c>
      <c r="E15" t="s">
        <v>23</v>
      </c>
      <c r="F15">
        <v>19</v>
      </c>
      <c r="G15">
        <v>1536129</v>
      </c>
      <c r="H15" t="s">
        <v>18</v>
      </c>
      <c r="I15">
        <v>5</v>
      </c>
      <c r="J15" t="s">
        <v>20</v>
      </c>
      <c r="K15">
        <v>24</v>
      </c>
      <c r="L15">
        <v>2</v>
      </c>
      <c r="M15" t="s">
        <v>20</v>
      </c>
      <c r="N15" t="s">
        <v>20</v>
      </c>
    </row>
    <row r="16" spans="1:14">
      <c r="A16" t="s">
        <v>44</v>
      </c>
      <c r="B16">
        <v>30</v>
      </c>
      <c r="C16" t="s">
        <v>15</v>
      </c>
      <c r="D16" t="s">
        <v>30</v>
      </c>
      <c r="E16" t="s">
        <v>23</v>
      </c>
      <c r="F16">
        <v>18</v>
      </c>
      <c r="G16">
        <v>1389625</v>
      </c>
      <c r="H16" t="s">
        <v>28</v>
      </c>
      <c r="I16">
        <v>9</v>
      </c>
      <c r="J16" t="s">
        <v>20</v>
      </c>
      <c r="K16">
        <v>16</v>
      </c>
      <c r="L16">
        <v>3</v>
      </c>
      <c r="M16" t="s">
        <v>19</v>
      </c>
      <c r="N16" t="s">
        <v>20</v>
      </c>
    </row>
    <row r="17" spans="1:14">
      <c r="A17" t="s">
        <v>45</v>
      </c>
      <c r="B17">
        <v>29</v>
      </c>
      <c r="C17" t="s">
        <v>22</v>
      </c>
      <c r="D17" t="s">
        <v>25</v>
      </c>
      <c r="E17" t="s">
        <v>23</v>
      </c>
      <c r="F17">
        <v>5</v>
      </c>
      <c r="G17">
        <v>1093863</v>
      </c>
      <c r="H17" t="s">
        <v>28</v>
      </c>
      <c r="I17">
        <v>6</v>
      </c>
      <c r="J17" t="s">
        <v>20</v>
      </c>
      <c r="K17">
        <v>11</v>
      </c>
      <c r="L17">
        <v>1</v>
      </c>
      <c r="M17" t="s">
        <v>20</v>
      </c>
      <c r="N17" t="s">
        <v>20</v>
      </c>
    </row>
    <row r="18" spans="1:14">
      <c r="A18" t="s">
        <v>46</v>
      </c>
      <c r="B18">
        <v>28</v>
      </c>
      <c r="C18" t="s">
        <v>22</v>
      </c>
      <c r="D18" t="s">
        <v>16</v>
      </c>
      <c r="E18" t="s">
        <v>31</v>
      </c>
      <c r="F18">
        <v>3</v>
      </c>
      <c r="G18">
        <v>893999</v>
      </c>
      <c r="H18" t="s">
        <v>34</v>
      </c>
      <c r="I18">
        <v>9</v>
      </c>
      <c r="J18" t="s">
        <v>19</v>
      </c>
      <c r="K18">
        <v>7</v>
      </c>
      <c r="L18">
        <v>5</v>
      </c>
      <c r="M18" t="s">
        <v>20</v>
      </c>
      <c r="N18" t="s">
        <v>20</v>
      </c>
    </row>
    <row r="19" spans="1:14">
      <c r="A19" t="s">
        <v>47</v>
      </c>
      <c r="B19">
        <v>49</v>
      </c>
      <c r="C19" t="s">
        <v>22</v>
      </c>
      <c r="D19" t="s">
        <v>27</v>
      </c>
      <c r="E19" t="s">
        <v>17</v>
      </c>
      <c r="F19">
        <v>17</v>
      </c>
      <c r="G19">
        <v>645538</v>
      </c>
      <c r="H19" t="s">
        <v>34</v>
      </c>
      <c r="I19">
        <v>5</v>
      </c>
      <c r="J19" t="s">
        <v>20</v>
      </c>
      <c r="K19">
        <v>23</v>
      </c>
      <c r="L19">
        <v>1</v>
      </c>
      <c r="M19" t="s">
        <v>19</v>
      </c>
      <c r="N19" t="s">
        <v>20</v>
      </c>
    </row>
    <row r="20" spans="1:14">
      <c r="A20" t="s">
        <v>48</v>
      </c>
      <c r="B20">
        <v>29</v>
      </c>
      <c r="C20" t="s">
        <v>22</v>
      </c>
      <c r="D20" t="s">
        <v>27</v>
      </c>
      <c r="E20" t="s">
        <v>23</v>
      </c>
      <c r="F20">
        <v>13</v>
      </c>
      <c r="G20">
        <v>777886</v>
      </c>
      <c r="H20" t="s">
        <v>28</v>
      </c>
      <c r="I20">
        <v>6</v>
      </c>
      <c r="J20" t="s">
        <v>20</v>
      </c>
      <c r="K20">
        <v>5</v>
      </c>
      <c r="L20">
        <v>4</v>
      </c>
      <c r="M20" t="s">
        <v>20</v>
      </c>
      <c r="N20" t="s">
        <v>20</v>
      </c>
    </row>
    <row r="21" spans="1:14">
      <c r="A21" t="s">
        <v>49</v>
      </c>
      <c r="B21">
        <v>33</v>
      </c>
      <c r="C21" t="s">
        <v>22</v>
      </c>
      <c r="D21" t="s">
        <v>30</v>
      </c>
      <c r="E21" t="s">
        <v>33</v>
      </c>
      <c r="F21">
        <v>3</v>
      </c>
      <c r="G21">
        <v>823269</v>
      </c>
      <c r="H21" t="s">
        <v>28</v>
      </c>
      <c r="I21">
        <v>1</v>
      </c>
      <c r="J21" t="s">
        <v>19</v>
      </c>
      <c r="K21">
        <v>43</v>
      </c>
      <c r="L21">
        <v>5</v>
      </c>
      <c r="M21" t="s">
        <v>19</v>
      </c>
      <c r="N21" t="s">
        <v>19</v>
      </c>
    </row>
    <row r="22" spans="1:14">
      <c r="A22" t="s">
        <v>50</v>
      </c>
      <c r="B22">
        <v>26</v>
      </c>
      <c r="C22" t="s">
        <v>15</v>
      </c>
      <c r="D22" t="s">
        <v>27</v>
      </c>
      <c r="E22" t="s">
        <v>17</v>
      </c>
      <c r="F22">
        <v>20</v>
      </c>
      <c r="G22">
        <v>1532784</v>
      </c>
      <c r="H22" t="s">
        <v>34</v>
      </c>
      <c r="I22">
        <v>1</v>
      </c>
      <c r="J22" t="s">
        <v>20</v>
      </c>
      <c r="K22">
        <v>58</v>
      </c>
      <c r="L22">
        <v>1</v>
      </c>
      <c r="M22" t="s">
        <v>19</v>
      </c>
      <c r="N22" t="s">
        <v>20</v>
      </c>
    </row>
    <row r="23" spans="1:14">
      <c r="A23" t="s">
        <v>51</v>
      </c>
      <c r="B23">
        <v>36</v>
      </c>
      <c r="C23" t="s">
        <v>15</v>
      </c>
      <c r="D23" t="s">
        <v>36</v>
      </c>
      <c r="E23" t="s">
        <v>17</v>
      </c>
      <c r="F23">
        <v>11</v>
      </c>
      <c r="G23">
        <v>305804</v>
      </c>
      <c r="H23" t="s">
        <v>18</v>
      </c>
      <c r="I23">
        <v>8</v>
      </c>
      <c r="J23" t="s">
        <v>20</v>
      </c>
      <c r="K23">
        <v>38</v>
      </c>
      <c r="L23">
        <v>3</v>
      </c>
      <c r="M23" t="s">
        <v>20</v>
      </c>
      <c r="N23" t="s">
        <v>20</v>
      </c>
    </row>
    <row r="24" spans="1:14">
      <c r="A24" t="s">
        <v>52</v>
      </c>
      <c r="B24">
        <v>48</v>
      </c>
      <c r="C24" t="s">
        <v>15</v>
      </c>
      <c r="D24" t="s">
        <v>27</v>
      </c>
      <c r="E24" t="s">
        <v>17</v>
      </c>
      <c r="F24">
        <v>12</v>
      </c>
      <c r="G24">
        <v>745368</v>
      </c>
      <c r="H24" t="s">
        <v>28</v>
      </c>
      <c r="I24">
        <v>2</v>
      </c>
      <c r="J24" t="s">
        <v>20</v>
      </c>
      <c r="K24">
        <v>55</v>
      </c>
      <c r="L24">
        <v>5</v>
      </c>
      <c r="M24" t="s">
        <v>20</v>
      </c>
      <c r="N24" t="s">
        <v>20</v>
      </c>
    </row>
    <row r="25" spans="1:14">
      <c r="A25" t="s">
        <v>53</v>
      </c>
      <c r="B25">
        <v>47</v>
      </c>
      <c r="C25" t="s">
        <v>22</v>
      </c>
      <c r="D25" t="s">
        <v>16</v>
      </c>
      <c r="E25" t="s">
        <v>17</v>
      </c>
      <c r="F25">
        <v>20</v>
      </c>
      <c r="G25">
        <v>660671</v>
      </c>
      <c r="H25" t="s">
        <v>34</v>
      </c>
      <c r="I25">
        <v>2</v>
      </c>
      <c r="J25" t="s">
        <v>19</v>
      </c>
      <c r="K25">
        <v>1</v>
      </c>
      <c r="L25">
        <v>2</v>
      </c>
      <c r="M25" t="s">
        <v>19</v>
      </c>
      <c r="N25" t="s">
        <v>19</v>
      </c>
    </row>
    <row r="26" spans="1:14">
      <c r="A26" t="s">
        <v>54</v>
      </c>
      <c r="B26">
        <v>34</v>
      </c>
      <c r="C26" t="s">
        <v>15</v>
      </c>
      <c r="D26" t="s">
        <v>27</v>
      </c>
      <c r="E26" t="s">
        <v>17</v>
      </c>
      <c r="F26">
        <v>5</v>
      </c>
      <c r="G26">
        <v>700463</v>
      </c>
      <c r="H26" t="s">
        <v>34</v>
      </c>
      <c r="I26">
        <v>5</v>
      </c>
      <c r="J26" t="s">
        <v>19</v>
      </c>
      <c r="K26">
        <v>58</v>
      </c>
      <c r="L26">
        <v>5</v>
      </c>
      <c r="M26" t="s">
        <v>20</v>
      </c>
      <c r="N26" t="s">
        <v>20</v>
      </c>
    </row>
    <row r="27" spans="1:14">
      <c r="A27" t="s">
        <v>55</v>
      </c>
      <c r="B27">
        <v>52</v>
      </c>
      <c r="C27" t="s">
        <v>22</v>
      </c>
      <c r="D27" t="s">
        <v>16</v>
      </c>
      <c r="E27" t="s">
        <v>31</v>
      </c>
      <c r="F27">
        <v>18</v>
      </c>
      <c r="G27">
        <v>1409287</v>
      </c>
      <c r="H27" t="s">
        <v>34</v>
      </c>
      <c r="I27">
        <v>5</v>
      </c>
      <c r="J27" t="s">
        <v>19</v>
      </c>
      <c r="K27">
        <v>10</v>
      </c>
      <c r="L27">
        <v>3</v>
      </c>
      <c r="M27" t="s">
        <v>20</v>
      </c>
      <c r="N27" t="s">
        <v>20</v>
      </c>
    </row>
    <row r="28" spans="1:14">
      <c r="A28" t="s">
        <v>56</v>
      </c>
      <c r="B28">
        <v>59</v>
      </c>
      <c r="C28" t="s">
        <v>22</v>
      </c>
      <c r="D28" t="s">
        <v>30</v>
      </c>
      <c r="E28" t="s">
        <v>23</v>
      </c>
      <c r="F28">
        <v>12</v>
      </c>
      <c r="G28">
        <v>1565280</v>
      </c>
      <c r="H28" t="s">
        <v>34</v>
      </c>
      <c r="I28">
        <v>9</v>
      </c>
      <c r="J28" t="s">
        <v>19</v>
      </c>
      <c r="K28">
        <v>13</v>
      </c>
      <c r="L28">
        <v>1</v>
      </c>
      <c r="M28" t="s">
        <v>20</v>
      </c>
      <c r="N28" t="s">
        <v>20</v>
      </c>
    </row>
    <row r="29" spans="1:14">
      <c r="A29" t="s">
        <v>57</v>
      </c>
      <c r="B29">
        <v>45</v>
      </c>
      <c r="C29" t="s">
        <v>15</v>
      </c>
      <c r="D29" t="s">
        <v>30</v>
      </c>
      <c r="E29" t="s">
        <v>23</v>
      </c>
      <c r="F29">
        <v>14</v>
      </c>
      <c r="G29">
        <v>256992</v>
      </c>
      <c r="H29" t="s">
        <v>34</v>
      </c>
      <c r="I29">
        <v>5</v>
      </c>
      <c r="J29" t="s">
        <v>20</v>
      </c>
      <c r="K29">
        <v>9</v>
      </c>
      <c r="L29">
        <v>2</v>
      </c>
      <c r="M29" t="s">
        <v>20</v>
      </c>
      <c r="N29" t="s">
        <v>19</v>
      </c>
    </row>
    <row r="30" spans="1:14">
      <c r="A30" t="s">
        <v>58</v>
      </c>
      <c r="B30">
        <v>59</v>
      </c>
      <c r="C30" t="s">
        <v>15</v>
      </c>
      <c r="D30" t="s">
        <v>25</v>
      </c>
      <c r="E30" t="s">
        <v>31</v>
      </c>
      <c r="F30">
        <v>4</v>
      </c>
      <c r="G30">
        <v>842271</v>
      </c>
      <c r="H30" t="s">
        <v>34</v>
      </c>
      <c r="I30">
        <v>5</v>
      </c>
      <c r="J30" t="s">
        <v>20</v>
      </c>
      <c r="K30">
        <v>59</v>
      </c>
      <c r="L30">
        <v>1</v>
      </c>
      <c r="M30" t="s">
        <v>19</v>
      </c>
      <c r="N30" t="s">
        <v>20</v>
      </c>
    </row>
    <row r="31" spans="1:14">
      <c r="A31" t="s">
        <v>59</v>
      </c>
      <c r="B31">
        <v>52</v>
      </c>
      <c r="C31" t="s">
        <v>15</v>
      </c>
      <c r="D31" t="s">
        <v>16</v>
      </c>
      <c r="E31" t="s">
        <v>33</v>
      </c>
      <c r="F31">
        <v>15</v>
      </c>
      <c r="G31">
        <v>531802</v>
      </c>
      <c r="H31" t="s">
        <v>28</v>
      </c>
      <c r="I31">
        <v>10</v>
      </c>
      <c r="J31" t="s">
        <v>20</v>
      </c>
      <c r="K31">
        <v>33</v>
      </c>
      <c r="L31">
        <v>3</v>
      </c>
      <c r="M31" t="s">
        <v>20</v>
      </c>
      <c r="N31" t="s">
        <v>20</v>
      </c>
    </row>
    <row r="32" spans="1:14">
      <c r="A32" t="s">
        <v>60</v>
      </c>
      <c r="B32">
        <v>37</v>
      </c>
      <c r="C32" t="s">
        <v>22</v>
      </c>
      <c r="D32" t="s">
        <v>25</v>
      </c>
      <c r="E32" t="s">
        <v>23</v>
      </c>
      <c r="F32">
        <v>12</v>
      </c>
      <c r="G32">
        <v>560509</v>
      </c>
      <c r="H32" t="s">
        <v>18</v>
      </c>
      <c r="I32">
        <v>10</v>
      </c>
      <c r="J32" t="s">
        <v>20</v>
      </c>
      <c r="K32">
        <v>48</v>
      </c>
      <c r="L32">
        <v>3</v>
      </c>
      <c r="M32" t="s">
        <v>20</v>
      </c>
      <c r="N32" t="s">
        <v>20</v>
      </c>
    </row>
    <row r="33" spans="1:14">
      <c r="A33" t="s">
        <v>61</v>
      </c>
      <c r="B33">
        <v>25</v>
      </c>
      <c r="C33" t="s">
        <v>22</v>
      </c>
      <c r="D33" t="s">
        <v>30</v>
      </c>
      <c r="E33" t="s">
        <v>23</v>
      </c>
      <c r="F33">
        <v>4</v>
      </c>
      <c r="G33">
        <v>749608</v>
      </c>
      <c r="H33" t="s">
        <v>34</v>
      </c>
      <c r="I33">
        <v>1</v>
      </c>
      <c r="J33" t="s">
        <v>19</v>
      </c>
      <c r="K33">
        <v>22</v>
      </c>
      <c r="L33">
        <v>5</v>
      </c>
      <c r="M33" t="s">
        <v>19</v>
      </c>
      <c r="N33" t="s">
        <v>19</v>
      </c>
    </row>
    <row r="34" spans="1:14">
      <c r="A34" t="s">
        <v>62</v>
      </c>
      <c r="B34">
        <v>59</v>
      </c>
      <c r="C34" t="s">
        <v>15</v>
      </c>
      <c r="D34" t="s">
        <v>30</v>
      </c>
      <c r="E34" t="s">
        <v>33</v>
      </c>
      <c r="F34">
        <v>0</v>
      </c>
      <c r="G34">
        <v>1417762</v>
      </c>
      <c r="H34" t="s">
        <v>18</v>
      </c>
      <c r="I34">
        <v>6</v>
      </c>
      <c r="J34" t="s">
        <v>20</v>
      </c>
      <c r="K34">
        <v>24</v>
      </c>
      <c r="L34">
        <v>5</v>
      </c>
      <c r="M34" t="s">
        <v>19</v>
      </c>
      <c r="N34" t="s">
        <v>20</v>
      </c>
    </row>
    <row r="35" spans="1:14">
      <c r="A35" t="s">
        <v>63</v>
      </c>
      <c r="B35">
        <v>39</v>
      </c>
      <c r="C35" t="s">
        <v>22</v>
      </c>
      <c r="D35" t="s">
        <v>25</v>
      </c>
      <c r="E35" t="s">
        <v>33</v>
      </c>
      <c r="F35">
        <v>1</v>
      </c>
      <c r="G35">
        <v>1175383</v>
      </c>
      <c r="H35" t="s">
        <v>18</v>
      </c>
      <c r="I35">
        <v>6</v>
      </c>
      <c r="J35" t="s">
        <v>19</v>
      </c>
      <c r="K35">
        <v>18</v>
      </c>
      <c r="L35">
        <v>2</v>
      </c>
      <c r="M35" t="s">
        <v>20</v>
      </c>
      <c r="N35" t="s">
        <v>19</v>
      </c>
    </row>
    <row r="36" spans="1:14">
      <c r="A36" t="s">
        <v>64</v>
      </c>
      <c r="B36">
        <v>51</v>
      </c>
      <c r="C36" t="s">
        <v>22</v>
      </c>
      <c r="D36" t="s">
        <v>30</v>
      </c>
      <c r="E36" t="s">
        <v>33</v>
      </c>
      <c r="F36">
        <v>1</v>
      </c>
      <c r="G36">
        <v>338068</v>
      </c>
      <c r="H36" t="s">
        <v>34</v>
      </c>
      <c r="I36">
        <v>1</v>
      </c>
      <c r="J36" t="s">
        <v>20</v>
      </c>
      <c r="K36">
        <v>56</v>
      </c>
      <c r="L36">
        <v>2</v>
      </c>
      <c r="M36" t="s">
        <v>20</v>
      </c>
      <c r="N36" t="s">
        <v>19</v>
      </c>
    </row>
    <row r="37" spans="1:14">
      <c r="A37" t="s">
        <v>65</v>
      </c>
      <c r="B37">
        <v>23</v>
      </c>
      <c r="C37" t="s">
        <v>15</v>
      </c>
      <c r="D37" t="s">
        <v>30</v>
      </c>
      <c r="E37" t="s">
        <v>33</v>
      </c>
      <c r="F37">
        <v>5</v>
      </c>
      <c r="G37">
        <v>1203019</v>
      </c>
      <c r="H37" t="s">
        <v>28</v>
      </c>
      <c r="I37">
        <v>3</v>
      </c>
      <c r="J37" t="s">
        <v>20</v>
      </c>
      <c r="K37">
        <v>7</v>
      </c>
      <c r="L37">
        <v>3</v>
      </c>
      <c r="M37" t="s">
        <v>20</v>
      </c>
      <c r="N37" t="s">
        <v>20</v>
      </c>
    </row>
    <row r="38" spans="1:14">
      <c r="A38" t="s">
        <v>66</v>
      </c>
      <c r="B38">
        <v>43</v>
      </c>
      <c r="C38" t="s">
        <v>15</v>
      </c>
      <c r="D38" t="s">
        <v>25</v>
      </c>
      <c r="E38" t="s">
        <v>31</v>
      </c>
      <c r="F38">
        <v>3</v>
      </c>
      <c r="G38">
        <v>626838</v>
      </c>
      <c r="H38" t="s">
        <v>28</v>
      </c>
      <c r="I38">
        <v>6</v>
      </c>
      <c r="J38" t="s">
        <v>19</v>
      </c>
      <c r="K38">
        <v>18</v>
      </c>
      <c r="L38">
        <v>1</v>
      </c>
      <c r="M38" t="s">
        <v>20</v>
      </c>
      <c r="N38" t="s">
        <v>20</v>
      </c>
    </row>
    <row r="39" spans="1:14">
      <c r="A39" t="s">
        <v>67</v>
      </c>
      <c r="B39">
        <v>44</v>
      </c>
      <c r="C39" t="s">
        <v>22</v>
      </c>
      <c r="D39" t="s">
        <v>16</v>
      </c>
      <c r="E39" t="s">
        <v>23</v>
      </c>
      <c r="F39">
        <v>3</v>
      </c>
      <c r="G39">
        <v>529358</v>
      </c>
      <c r="H39" t="s">
        <v>28</v>
      </c>
      <c r="I39">
        <v>5</v>
      </c>
      <c r="J39" t="s">
        <v>19</v>
      </c>
      <c r="K39">
        <v>48</v>
      </c>
      <c r="L39">
        <v>5</v>
      </c>
      <c r="M39" t="s">
        <v>20</v>
      </c>
      <c r="N39" t="s">
        <v>20</v>
      </c>
    </row>
    <row r="40" spans="1:14">
      <c r="A40" t="s">
        <v>68</v>
      </c>
      <c r="B40">
        <v>55</v>
      </c>
      <c r="C40" t="s">
        <v>22</v>
      </c>
      <c r="D40" t="s">
        <v>27</v>
      </c>
      <c r="E40" t="s">
        <v>17</v>
      </c>
      <c r="F40">
        <v>6</v>
      </c>
      <c r="G40">
        <v>1618001</v>
      </c>
      <c r="H40" t="s">
        <v>18</v>
      </c>
      <c r="I40">
        <v>5</v>
      </c>
      <c r="J40" t="s">
        <v>20</v>
      </c>
      <c r="K40">
        <v>55</v>
      </c>
      <c r="L40">
        <v>2</v>
      </c>
      <c r="M40" t="s">
        <v>20</v>
      </c>
      <c r="N40" t="s">
        <v>20</v>
      </c>
    </row>
    <row r="41" spans="1:14">
      <c r="A41" t="s">
        <v>69</v>
      </c>
      <c r="B41">
        <v>59</v>
      </c>
      <c r="C41" t="s">
        <v>22</v>
      </c>
      <c r="D41" t="s">
        <v>30</v>
      </c>
      <c r="E41" t="s">
        <v>33</v>
      </c>
      <c r="F41">
        <v>19</v>
      </c>
      <c r="G41">
        <v>1708756</v>
      </c>
      <c r="H41" t="s">
        <v>34</v>
      </c>
      <c r="I41">
        <v>9</v>
      </c>
      <c r="J41" t="s">
        <v>20</v>
      </c>
      <c r="K41">
        <v>39</v>
      </c>
      <c r="L41">
        <v>1</v>
      </c>
      <c r="M41" t="s">
        <v>19</v>
      </c>
      <c r="N41" t="s">
        <v>20</v>
      </c>
    </row>
    <row r="42" spans="1:14">
      <c r="A42" t="s">
        <v>70</v>
      </c>
      <c r="B42">
        <v>24</v>
      </c>
      <c r="C42" t="s">
        <v>15</v>
      </c>
      <c r="D42" t="s">
        <v>30</v>
      </c>
      <c r="E42" t="s">
        <v>23</v>
      </c>
      <c r="F42">
        <v>3</v>
      </c>
      <c r="G42">
        <v>399736</v>
      </c>
      <c r="H42" t="s">
        <v>28</v>
      </c>
      <c r="I42">
        <v>10</v>
      </c>
      <c r="J42" t="s">
        <v>19</v>
      </c>
      <c r="K42">
        <v>36</v>
      </c>
      <c r="L42">
        <v>1</v>
      </c>
      <c r="M42" t="s">
        <v>20</v>
      </c>
      <c r="N42" t="s">
        <v>20</v>
      </c>
    </row>
    <row r="43" spans="1:14">
      <c r="A43" t="s">
        <v>71</v>
      </c>
      <c r="B43">
        <v>44</v>
      </c>
      <c r="C43" t="s">
        <v>15</v>
      </c>
      <c r="D43" t="s">
        <v>36</v>
      </c>
      <c r="E43" t="s">
        <v>31</v>
      </c>
      <c r="F43">
        <v>1</v>
      </c>
      <c r="G43">
        <v>484486</v>
      </c>
      <c r="H43" t="s">
        <v>34</v>
      </c>
      <c r="I43">
        <v>6</v>
      </c>
      <c r="J43" t="s">
        <v>19</v>
      </c>
      <c r="K43">
        <v>22</v>
      </c>
      <c r="L43">
        <v>1</v>
      </c>
      <c r="M43" t="s">
        <v>20</v>
      </c>
      <c r="N43" t="s">
        <v>19</v>
      </c>
    </row>
    <row r="44" spans="1:14">
      <c r="A44" t="s">
        <v>72</v>
      </c>
      <c r="B44">
        <v>48</v>
      </c>
      <c r="C44" t="s">
        <v>22</v>
      </c>
      <c r="D44" t="s">
        <v>25</v>
      </c>
      <c r="E44" t="s">
        <v>33</v>
      </c>
      <c r="F44">
        <v>7</v>
      </c>
      <c r="G44">
        <v>1170869</v>
      </c>
      <c r="H44" t="s">
        <v>18</v>
      </c>
      <c r="I44">
        <v>5</v>
      </c>
      <c r="J44" t="s">
        <v>20</v>
      </c>
      <c r="K44">
        <v>12</v>
      </c>
      <c r="L44">
        <v>4</v>
      </c>
      <c r="M44" t="s">
        <v>20</v>
      </c>
      <c r="N44" t="s">
        <v>20</v>
      </c>
    </row>
    <row r="45" spans="1:14">
      <c r="A45" t="s">
        <v>73</v>
      </c>
      <c r="B45">
        <v>26</v>
      </c>
      <c r="C45" t="s">
        <v>15</v>
      </c>
      <c r="D45" t="s">
        <v>25</v>
      </c>
      <c r="E45" t="s">
        <v>31</v>
      </c>
      <c r="F45">
        <v>1</v>
      </c>
      <c r="G45">
        <v>303315</v>
      </c>
      <c r="H45" t="s">
        <v>34</v>
      </c>
      <c r="I45">
        <v>3</v>
      </c>
      <c r="J45" t="s">
        <v>19</v>
      </c>
      <c r="K45">
        <v>32</v>
      </c>
      <c r="L45">
        <v>4</v>
      </c>
      <c r="M45" t="s">
        <v>20</v>
      </c>
      <c r="N45" t="s">
        <v>19</v>
      </c>
    </row>
    <row r="46" spans="1:14">
      <c r="A46" t="s">
        <v>74</v>
      </c>
      <c r="B46">
        <v>36</v>
      </c>
      <c r="C46" t="s">
        <v>22</v>
      </c>
      <c r="D46" t="s">
        <v>27</v>
      </c>
      <c r="E46" t="s">
        <v>23</v>
      </c>
      <c r="F46">
        <v>4</v>
      </c>
      <c r="G46">
        <v>689555</v>
      </c>
      <c r="H46" t="s">
        <v>28</v>
      </c>
      <c r="I46">
        <v>2</v>
      </c>
      <c r="J46" t="s">
        <v>20</v>
      </c>
      <c r="K46">
        <v>32</v>
      </c>
      <c r="L46">
        <v>1</v>
      </c>
      <c r="M46" t="s">
        <v>20</v>
      </c>
      <c r="N46" t="s">
        <v>20</v>
      </c>
    </row>
    <row r="47" spans="1:14">
      <c r="A47" t="s">
        <v>75</v>
      </c>
      <c r="B47">
        <v>44</v>
      </c>
      <c r="C47" t="s">
        <v>15</v>
      </c>
      <c r="D47" t="s">
        <v>36</v>
      </c>
      <c r="E47" t="s">
        <v>23</v>
      </c>
      <c r="F47">
        <v>6</v>
      </c>
      <c r="G47">
        <v>1269600</v>
      </c>
      <c r="H47" t="s">
        <v>34</v>
      </c>
      <c r="I47">
        <v>2</v>
      </c>
      <c r="J47" t="s">
        <v>19</v>
      </c>
      <c r="K47">
        <v>43</v>
      </c>
      <c r="L47">
        <v>2</v>
      </c>
      <c r="M47" t="s">
        <v>20</v>
      </c>
      <c r="N47" t="s">
        <v>19</v>
      </c>
    </row>
    <row r="48" spans="1:14">
      <c r="A48" t="s">
        <v>76</v>
      </c>
      <c r="B48">
        <v>40</v>
      </c>
      <c r="C48" t="s">
        <v>22</v>
      </c>
      <c r="D48" t="s">
        <v>36</v>
      </c>
      <c r="E48" t="s">
        <v>33</v>
      </c>
      <c r="F48">
        <v>9</v>
      </c>
      <c r="G48">
        <v>1488205</v>
      </c>
      <c r="H48" t="s">
        <v>34</v>
      </c>
      <c r="I48">
        <v>8</v>
      </c>
      <c r="J48" t="s">
        <v>20</v>
      </c>
      <c r="K48">
        <v>16</v>
      </c>
      <c r="L48">
        <v>3</v>
      </c>
      <c r="M48" t="s">
        <v>20</v>
      </c>
      <c r="N48" t="s">
        <v>20</v>
      </c>
    </row>
    <row r="49" spans="1:14">
      <c r="A49" t="s">
        <v>77</v>
      </c>
      <c r="B49">
        <v>54</v>
      </c>
      <c r="C49" t="s">
        <v>15</v>
      </c>
      <c r="D49" t="s">
        <v>25</v>
      </c>
      <c r="E49" t="s">
        <v>31</v>
      </c>
      <c r="F49">
        <v>18</v>
      </c>
      <c r="G49">
        <v>1529263</v>
      </c>
      <c r="H49" t="s">
        <v>34</v>
      </c>
      <c r="I49">
        <v>2</v>
      </c>
      <c r="J49" t="s">
        <v>19</v>
      </c>
      <c r="K49">
        <v>59</v>
      </c>
      <c r="L49">
        <v>5</v>
      </c>
      <c r="M49" t="s">
        <v>20</v>
      </c>
      <c r="N49" t="s">
        <v>19</v>
      </c>
    </row>
    <row r="50" spans="1:14">
      <c r="A50" t="s">
        <v>78</v>
      </c>
      <c r="B50">
        <v>21</v>
      </c>
      <c r="C50" t="s">
        <v>15</v>
      </c>
      <c r="D50" t="s">
        <v>30</v>
      </c>
      <c r="E50" t="s">
        <v>23</v>
      </c>
      <c r="F50">
        <v>9</v>
      </c>
      <c r="G50">
        <v>1594260</v>
      </c>
      <c r="H50" t="s">
        <v>18</v>
      </c>
      <c r="I50">
        <v>1</v>
      </c>
      <c r="J50" t="s">
        <v>20</v>
      </c>
      <c r="K50">
        <v>10</v>
      </c>
      <c r="L50">
        <v>2</v>
      </c>
      <c r="M50" t="s">
        <v>20</v>
      </c>
      <c r="N50" t="s">
        <v>20</v>
      </c>
    </row>
    <row r="51" spans="1:14">
      <c r="A51" t="s">
        <v>79</v>
      </c>
      <c r="B51">
        <v>46</v>
      </c>
      <c r="C51" t="s">
        <v>15</v>
      </c>
      <c r="D51" t="s">
        <v>27</v>
      </c>
      <c r="E51" t="s">
        <v>31</v>
      </c>
      <c r="F51">
        <v>13</v>
      </c>
      <c r="G51">
        <v>1597404</v>
      </c>
      <c r="H51" t="s">
        <v>28</v>
      </c>
      <c r="I51">
        <v>5</v>
      </c>
      <c r="J51" t="s">
        <v>20</v>
      </c>
      <c r="K51">
        <v>20</v>
      </c>
      <c r="L51">
        <v>5</v>
      </c>
      <c r="M51" t="s">
        <v>20</v>
      </c>
      <c r="N51" t="s">
        <v>20</v>
      </c>
    </row>
    <row r="52" spans="1:14">
      <c r="A52" t="s">
        <v>80</v>
      </c>
      <c r="B52">
        <v>38</v>
      </c>
      <c r="C52" t="s">
        <v>22</v>
      </c>
      <c r="D52" t="s">
        <v>30</v>
      </c>
      <c r="E52" t="s">
        <v>17</v>
      </c>
      <c r="F52">
        <v>4</v>
      </c>
      <c r="G52">
        <v>1596329</v>
      </c>
      <c r="H52" t="s">
        <v>34</v>
      </c>
      <c r="I52">
        <v>5</v>
      </c>
      <c r="J52" t="s">
        <v>19</v>
      </c>
      <c r="K52">
        <v>59</v>
      </c>
      <c r="L52">
        <v>3</v>
      </c>
      <c r="M52" t="s">
        <v>20</v>
      </c>
      <c r="N52" t="s">
        <v>20</v>
      </c>
    </row>
    <row r="53" spans="1:14">
      <c r="A53" t="s">
        <v>81</v>
      </c>
      <c r="B53">
        <v>24</v>
      </c>
      <c r="C53" t="s">
        <v>22</v>
      </c>
      <c r="D53" t="s">
        <v>25</v>
      </c>
      <c r="E53" t="s">
        <v>23</v>
      </c>
      <c r="F53">
        <v>3</v>
      </c>
      <c r="G53">
        <v>670972</v>
      </c>
      <c r="H53" t="s">
        <v>28</v>
      </c>
      <c r="I53">
        <v>2</v>
      </c>
      <c r="J53" t="s">
        <v>20</v>
      </c>
      <c r="K53">
        <v>42</v>
      </c>
      <c r="L53">
        <v>5</v>
      </c>
      <c r="M53" t="s">
        <v>19</v>
      </c>
      <c r="N53" t="s">
        <v>20</v>
      </c>
    </row>
    <row r="54" spans="1:14">
      <c r="A54" t="s">
        <v>82</v>
      </c>
      <c r="B54">
        <v>31</v>
      </c>
      <c r="C54" t="s">
        <v>22</v>
      </c>
      <c r="D54" t="s">
        <v>36</v>
      </c>
      <c r="E54" t="s">
        <v>23</v>
      </c>
      <c r="F54">
        <v>11</v>
      </c>
      <c r="G54">
        <v>1061467</v>
      </c>
      <c r="H54" t="s">
        <v>34</v>
      </c>
      <c r="I54">
        <v>9</v>
      </c>
      <c r="J54" t="s">
        <v>20</v>
      </c>
      <c r="K54">
        <v>7</v>
      </c>
      <c r="L54">
        <v>1</v>
      </c>
      <c r="M54" t="s">
        <v>20</v>
      </c>
      <c r="N54" t="s">
        <v>20</v>
      </c>
    </row>
    <row r="55" spans="1:14">
      <c r="A55" t="s">
        <v>83</v>
      </c>
      <c r="B55">
        <v>24</v>
      </c>
      <c r="C55" t="s">
        <v>22</v>
      </c>
      <c r="D55" t="s">
        <v>27</v>
      </c>
      <c r="E55" t="s">
        <v>31</v>
      </c>
      <c r="F55">
        <v>16</v>
      </c>
      <c r="G55">
        <v>1303399</v>
      </c>
      <c r="H55" t="s">
        <v>34</v>
      </c>
      <c r="I55">
        <v>2</v>
      </c>
      <c r="J55" t="s">
        <v>19</v>
      </c>
      <c r="K55">
        <v>58</v>
      </c>
      <c r="L55">
        <v>4</v>
      </c>
      <c r="M55" t="s">
        <v>19</v>
      </c>
      <c r="N55" t="s">
        <v>19</v>
      </c>
    </row>
    <row r="56" spans="1:14">
      <c r="A56" t="s">
        <v>84</v>
      </c>
      <c r="B56">
        <v>41</v>
      </c>
      <c r="C56" t="s">
        <v>15</v>
      </c>
      <c r="D56" t="s">
        <v>27</v>
      </c>
      <c r="E56" t="s">
        <v>17</v>
      </c>
      <c r="F56">
        <v>16</v>
      </c>
      <c r="G56">
        <v>827912</v>
      </c>
      <c r="H56" t="s">
        <v>18</v>
      </c>
      <c r="I56">
        <v>9</v>
      </c>
      <c r="J56" t="s">
        <v>20</v>
      </c>
      <c r="K56">
        <v>6</v>
      </c>
      <c r="L56">
        <v>4</v>
      </c>
      <c r="M56" t="s">
        <v>20</v>
      </c>
      <c r="N56" t="s">
        <v>20</v>
      </c>
    </row>
    <row r="57" spans="1:14">
      <c r="A57" t="s">
        <v>85</v>
      </c>
      <c r="B57">
        <v>42</v>
      </c>
      <c r="C57" t="s">
        <v>22</v>
      </c>
      <c r="D57" t="s">
        <v>25</v>
      </c>
      <c r="E57" t="s">
        <v>17</v>
      </c>
      <c r="F57">
        <v>11</v>
      </c>
      <c r="G57">
        <v>575376</v>
      </c>
      <c r="H57" t="s">
        <v>34</v>
      </c>
      <c r="I57">
        <v>2</v>
      </c>
      <c r="J57" t="s">
        <v>20</v>
      </c>
      <c r="K57">
        <v>3</v>
      </c>
      <c r="L57">
        <v>2</v>
      </c>
      <c r="M57" t="s">
        <v>20</v>
      </c>
      <c r="N57" t="s">
        <v>20</v>
      </c>
    </row>
    <row r="58" spans="1:14">
      <c r="A58" t="s">
        <v>86</v>
      </c>
      <c r="B58">
        <v>52</v>
      </c>
      <c r="C58" t="s">
        <v>15</v>
      </c>
      <c r="D58" t="s">
        <v>30</v>
      </c>
      <c r="E58" t="s">
        <v>17</v>
      </c>
      <c r="F58">
        <v>15</v>
      </c>
      <c r="G58">
        <v>1566066</v>
      </c>
      <c r="H58" t="s">
        <v>34</v>
      </c>
      <c r="I58">
        <v>1</v>
      </c>
      <c r="J58" t="s">
        <v>20</v>
      </c>
      <c r="K58">
        <v>43</v>
      </c>
      <c r="L58">
        <v>5</v>
      </c>
      <c r="M58" t="s">
        <v>19</v>
      </c>
      <c r="N58" t="s">
        <v>20</v>
      </c>
    </row>
    <row r="59" spans="1:14">
      <c r="A59" t="s">
        <v>87</v>
      </c>
      <c r="B59">
        <v>48</v>
      </c>
      <c r="C59" t="s">
        <v>15</v>
      </c>
      <c r="D59" t="s">
        <v>30</v>
      </c>
      <c r="E59" t="s">
        <v>17</v>
      </c>
      <c r="F59">
        <v>3</v>
      </c>
      <c r="G59">
        <v>1203378</v>
      </c>
      <c r="H59" t="s">
        <v>18</v>
      </c>
      <c r="I59">
        <v>4</v>
      </c>
      <c r="J59" t="s">
        <v>20</v>
      </c>
      <c r="K59">
        <v>58</v>
      </c>
      <c r="L59">
        <v>3</v>
      </c>
      <c r="M59" t="s">
        <v>20</v>
      </c>
      <c r="N59" t="s">
        <v>20</v>
      </c>
    </row>
    <row r="60" spans="1:14">
      <c r="A60" t="s">
        <v>88</v>
      </c>
      <c r="B60">
        <v>27</v>
      </c>
      <c r="C60" t="s">
        <v>22</v>
      </c>
      <c r="D60" t="s">
        <v>16</v>
      </c>
      <c r="E60" t="s">
        <v>17</v>
      </c>
      <c r="F60">
        <v>6</v>
      </c>
      <c r="G60">
        <v>482902</v>
      </c>
      <c r="H60" t="s">
        <v>18</v>
      </c>
      <c r="I60">
        <v>9</v>
      </c>
      <c r="J60" t="s">
        <v>19</v>
      </c>
      <c r="K60">
        <v>36</v>
      </c>
      <c r="L60">
        <v>5</v>
      </c>
      <c r="M60" t="s">
        <v>20</v>
      </c>
      <c r="N60" t="s">
        <v>20</v>
      </c>
    </row>
    <row r="61" spans="1:14">
      <c r="A61" t="s">
        <v>89</v>
      </c>
      <c r="B61">
        <v>43</v>
      </c>
      <c r="C61" t="s">
        <v>22</v>
      </c>
      <c r="D61" t="s">
        <v>25</v>
      </c>
      <c r="E61" t="s">
        <v>17</v>
      </c>
      <c r="F61">
        <v>6</v>
      </c>
      <c r="G61">
        <v>1717081</v>
      </c>
      <c r="H61" t="s">
        <v>28</v>
      </c>
      <c r="I61">
        <v>9</v>
      </c>
      <c r="J61" t="s">
        <v>19</v>
      </c>
      <c r="K61">
        <v>25</v>
      </c>
      <c r="L61">
        <v>4</v>
      </c>
      <c r="M61" t="s">
        <v>20</v>
      </c>
      <c r="N61" t="s">
        <v>20</v>
      </c>
    </row>
    <row r="62" spans="1:14">
      <c r="A62" t="s">
        <v>90</v>
      </c>
      <c r="B62">
        <v>54</v>
      </c>
      <c r="C62" t="s">
        <v>22</v>
      </c>
      <c r="D62" t="s">
        <v>16</v>
      </c>
      <c r="E62" t="s">
        <v>33</v>
      </c>
      <c r="F62">
        <v>6</v>
      </c>
      <c r="G62">
        <v>1536995</v>
      </c>
      <c r="H62" t="s">
        <v>18</v>
      </c>
      <c r="I62">
        <v>9</v>
      </c>
      <c r="J62" t="s">
        <v>20</v>
      </c>
      <c r="K62">
        <v>47</v>
      </c>
      <c r="L62">
        <v>3</v>
      </c>
      <c r="M62" t="s">
        <v>20</v>
      </c>
      <c r="N62" t="s">
        <v>20</v>
      </c>
    </row>
    <row r="63" spans="1:14">
      <c r="A63" t="s">
        <v>91</v>
      </c>
      <c r="B63">
        <v>33</v>
      </c>
      <c r="C63" t="s">
        <v>15</v>
      </c>
      <c r="D63" t="s">
        <v>30</v>
      </c>
      <c r="E63" t="s">
        <v>17</v>
      </c>
      <c r="F63">
        <v>9</v>
      </c>
      <c r="G63">
        <v>454064</v>
      </c>
      <c r="H63" t="s">
        <v>18</v>
      </c>
      <c r="I63">
        <v>8</v>
      </c>
      <c r="J63" t="s">
        <v>20</v>
      </c>
      <c r="K63">
        <v>11</v>
      </c>
      <c r="L63">
        <v>5</v>
      </c>
      <c r="M63" t="s">
        <v>20</v>
      </c>
      <c r="N63" t="s">
        <v>20</v>
      </c>
    </row>
    <row r="64" spans="1:14">
      <c r="A64" t="s">
        <v>92</v>
      </c>
      <c r="B64">
        <v>28</v>
      </c>
      <c r="C64" t="s">
        <v>15</v>
      </c>
      <c r="D64" t="s">
        <v>16</v>
      </c>
      <c r="E64" t="s">
        <v>17</v>
      </c>
      <c r="F64">
        <v>18</v>
      </c>
      <c r="G64">
        <v>1192662</v>
      </c>
      <c r="H64" t="s">
        <v>18</v>
      </c>
      <c r="I64">
        <v>9</v>
      </c>
      <c r="J64" t="s">
        <v>19</v>
      </c>
      <c r="K64">
        <v>52</v>
      </c>
      <c r="L64">
        <v>3</v>
      </c>
      <c r="M64" t="s">
        <v>20</v>
      </c>
      <c r="N64" t="s">
        <v>20</v>
      </c>
    </row>
    <row r="65" spans="1:14">
      <c r="A65" t="s">
        <v>93</v>
      </c>
      <c r="B65">
        <v>25</v>
      </c>
      <c r="C65" t="s">
        <v>22</v>
      </c>
      <c r="D65" t="s">
        <v>27</v>
      </c>
      <c r="E65" t="s">
        <v>33</v>
      </c>
      <c r="F65">
        <v>7</v>
      </c>
      <c r="G65">
        <v>1562101</v>
      </c>
      <c r="H65" t="s">
        <v>34</v>
      </c>
      <c r="I65">
        <v>8</v>
      </c>
      <c r="J65" t="s">
        <v>20</v>
      </c>
      <c r="K65">
        <v>21</v>
      </c>
      <c r="L65">
        <v>3</v>
      </c>
      <c r="M65" t="s">
        <v>20</v>
      </c>
      <c r="N65" t="s">
        <v>20</v>
      </c>
    </row>
    <row r="66" spans="1:14">
      <c r="A66" t="s">
        <v>94</v>
      </c>
      <c r="B66">
        <v>46</v>
      </c>
      <c r="C66" t="s">
        <v>15</v>
      </c>
      <c r="D66" t="s">
        <v>25</v>
      </c>
      <c r="E66" t="s">
        <v>33</v>
      </c>
      <c r="F66">
        <v>9</v>
      </c>
      <c r="G66">
        <v>1515330</v>
      </c>
      <c r="H66" t="s">
        <v>28</v>
      </c>
      <c r="I66">
        <v>5</v>
      </c>
      <c r="J66" t="s">
        <v>20</v>
      </c>
      <c r="K66">
        <v>0</v>
      </c>
      <c r="L66">
        <v>4</v>
      </c>
      <c r="M66" t="s">
        <v>20</v>
      </c>
      <c r="N66" t="s">
        <v>20</v>
      </c>
    </row>
    <row r="67" spans="1:14">
      <c r="A67" t="s">
        <v>95</v>
      </c>
      <c r="B67">
        <v>50</v>
      </c>
      <c r="C67" t="s">
        <v>22</v>
      </c>
      <c r="D67" t="s">
        <v>36</v>
      </c>
      <c r="E67" t="s">
        <v>33</v>
      </c>
      <c r="F67">
        <v>3</v>
      </c>
      <c r="G67">
        <v>294292</v>
      </c>
      <c r="H67" t="s">
        <v>18</v>
      </c>
      <c r="I67">
        <v>3</v>
      </c>
      <c r="J67" t="s">
        <v>19</v>
      </c>
      <c r="K67">
        <v>13</v>
      </c>
      <c r="L67">
        <v>4</v>
      </c>
      <c r="M67" t="s">
        <v>19</v>
      </c>
      <c r="N67" t="s">
        <v>19</v>
      </c>
    </row>
    <row r="68" spans="1:14">
      <c r="A68" t="s">
        <v>96</v>
      </c>
      <c r="B68">
        <v>39</v>
      </c>
      <c r="C68" t="s">
        <v>15</v>
      </c>
      <c r="D68" t="s">
        <v>25</v>
      </c>
      <c r="E68" t="s">
        <v>17</v>
      </c>
      <c r="F68">
        <v>10</v>
      </c>
      <c r="G68">
        <v>549800</v>
      </c>
      <c r="H68" t="s">
        <v>18</v>
      </c>
      <c r="I68">
        <v>3</v>
      </c>
      <c r="J68" t="s">
        <v>20</v>
      </c>
      <c r="K68">
        <v>50</v>
      </c>
      <c r="L68">
        <v>2</v>
      </c>
      <c r="M68" t="s">
        <v>20</v>
      </c>
      <c r="N68" t="s">
        <v>20</v>
      </c>
    </row>
    <row r="69" spans="1:14">
      <c r="A69" t="s">
        <v>97</v>
      </c>
      <c r="B69">
        <v>28</v>
      </c>
      <c r="C69" t="s">
        <v>15</v>
      </c>
      <c r="D69" t="s">
        <v>27</v>
      </c>
      <c r="E69" t="s">
        <v>17</v>
      </c>
      <c r="F69">
        <v>15</v>
      </c>
      <c r="G69">
        <v>1288894</v>
      </c>
      <c r="H69" t="s">
        <v>18</v>
      </c>
      <c r="I69">
        <v>9</v>
      </c>
      <c r="J69" t="s">
        <v>20</v>
      </c>
      <c r="K69">
        <v>6</v>
      </c>
      <c r="L69">
        <v>2</v>
      </c>
      <c r="M69" t="s">
        <v>20</v>
      </c>
      <c r="N69" t="s">
        <v>20</v>
      </c>
    </row>
    <row r="70" spans="1:14">
      <c r="A70" t="s">
        <v>98</v>
      </c>
      <c r="B70">
        <v>34</v>
      </c>
      <c r="C70" t="s">
        <v>22</v>
      </c>
      <c r="D70" t="s">
        <v>30</v>
      </c>
      <c r="E70" t="s">
        <v>31</v>
      </c>
      <c r="F70">
        <v>9</v>
      </c>
      <c r="G70">
        <v>959639</v>
      </c>
      <c r="H70" t="s">
        <v>34</v>
      </c>
      <c r="I70">
        <v>8</v>
      </c>
      <c r="J70" t="s">
        <v>19</v>
      </c>
      <c r="K70">
        <v>2</v>
      </c>
      <c r="L70">
        <v>1</v>
      </c>
      <c r="M70" t="s">
        <v>20</v>
      </c>
      <c r="N70" t="s">
        <v>20</v>
      </c>
    </row>
    <row r="71" spans="1:14">
      <c r="A71" t="s">
        <v>99</v>
      </c>
      <c r="B71">
        <v>40</v>
      </c>
      <c r="C71" t="s">
        <v>22</v>
      </c>
      <c r="D71" t="s">
        <v>16</v>
      </c>
      <c r="E71" t="s">
        <v>23</v>
      </c>
      <c r="F71">
        <v>4</v>
      </c>
      <c r="G71">
        <v>1099637</v>
      </c>
      <c r="H71" t="s">
        <v>28</v>
      </c>
      <c r="I71">
        <v>2</v>
      </c>
      <c r="J71" t="s">
        <v>20</v>
      </c>
      <c r="K71">
        <v>8</v>
      </c>
      <c r="L71">
        <v>3</v>
      </c>
      <c r="M71" t="s">
        <v>20</v>
      </c>
      <c r="N71" t="s">
        <v>20</v>
      </c>
    </row>
    <row r="72" spans="1:14">
      <c r="A72" t="s">
        <v>100</v>
      </c>
      <c r="B72">
        <v>26</v>
      </c>
      <c r="C72" t="s">
        <v>22</v>
      </c>
      <c r="D72" t="s">
        <v>16</v>
      </c>
      <c r="E72" t="s">
        <v>23</v>
      </c>
      <c r="F72">
        <v>3</v>
      </c>
      <c r="G72">
        <v>580004</v>
      </c>
      <c r="H72" t="s">
        <v>34</v>
      </c>
      <c r="I72">
        <v>2</v>
      </c>
      <c r="J72" t="s">
        <v>19</v>
      </c>
      <c r="K72">
        <v>10</v>
      </c>
      <c r="L72">
        <v>5</v>
      </c>
      <c r="M72" t="s">
        <v>19</v>
      </c>
      <c r="N72" t="s">
        <v>19</v>
      </c>
    </row>
    <row r="73" spans="1:14">
      <c r="A73" t="s">
        <v>101</v>
      </c>
      <c r="B73">
        <v>34</v>
      </c>
      <c r="C73" t="s">
        <v>15</v>
      </c>
      <c r="D73" t="s">
        <v>27</v>
      </c>
      <c r="E73" t="s">
        <v>33</v>
      </c>
      <c r="F73">
        <v>18</v>
      </c>
      <c r="G73">
        <v>285558</v>
      </c>
      <c r="H73" t="s">
        <v>18</v>
      </c>
      <c r="I73">
        <v>2</v>
      </c>
      <c r="J73" t="s">
        <v>20</v>
      </c>
      <c r="K73">
        <v>18</v>
      </c>
      <c r="L73">
        <v>2</v>
      </c>
      <c r="M73" t="s">
        <v>20</v>
      </c>
      <c r="N73" t="s">
        <v>19</v>
      </c>
    </row>
    <row r="74" spans="1:14">
      <c r="A74" t="s">
        <v>102</v>
      </c>
      <c r="B74">
        <v>30</v>
      </c>
      <c r="C74" t="s">
        <v>15</v>
      </c>
      <c r="D74" t="s">
        <v>30</v>
      </c>
      <c r="E74" t="s">
        <v>31</v>
      </c>
      <c r="F74">
        <v>4</v>
      </c>
      <c r="G74">
        <v>297645</v>
      </c>
      <c r="H74" t="s">
        <v>34</v>
      </c>
      <c r="I74">
        <v>4</v>
      </c>
      <c r="J74" t="s">
        <v>20</v>
      </c>
      <c r="K74">
        <v>23</v>
      </c>
      <c r="L74">
        <v>3</v>
      </c>
      <c r="M74" t="s">
        <v>20</v>
      </c>
      <c r="N74" t="s">
        <v>19</v>
      </c>
    </row>
    <row r="75" spans="1:14">
      <c r="A75" t="s">
        <v>103</v>
      </c>
      <c r="B75">
        <v>57</v>
      </c>
      <c r="C75" t="s">
        <v>22</v>
      </c>
      <c r="D75" t="s">
        <v>27</v>
      </c>
      <c r="E75" t="s">
        <v>31</v>
      </c>
      <c r="F75">
        <v>19</v>
      </c>
      <c r="G75">
        <v>1126005</v>
      </c>
      <c r="H75" t="s">
        <v>34</v>
      </c>
      <c r="I75">
        <v>5</v>
      </c>
      <c r="J75" t="s">
        <v>19</v>
      </c>
      <c r="K75">
        <v>33</v>
      </c>
      <c r="L75">
        <v>3</v>
      </c>
      <c r="M75" t="s">
        <v>19</v>
      </c>
      <c r="N75" t="s">
        <v>20</v>
      </c>
    </row>
    <row r="76" spans="1:14">
      <c r="A76" t="s">
        <v>104</v>
      </c>
      <c r="B76">
        <v>38</v>
      </c>
      <c r="C76" t="s">
        <v>15</v>
      </c>
      <c r="D76" t="s">
        <v>36</v>
      </c>
      <c r="E76" t="s">
        <v>23</v>
      </c>
      <c r="F76">
        <v>0</v>
      </c>
      <c r="G76">
        <v>1509217</v>
      </c>
      <c r="H76" t="s">
        <v>28</v>
      </c>
      <c r="I76">
        <v>7</v>
      </c>
      <c r="J76" t="s">
        <v>19</v>
      </c>
      <c r="K76">
        <v>16</v>
      </c>
      <c r="L76">
        <v>1</v>
      </c>
      <c r="M76" t="s">
        <v>20</v>
      </c>
      <c r="N76" t="s">
        <v>19</v>
      </c>
    </row>
    <row r="77" spans="1:14">
      <c r="A77" t="s">
        <v>105</v>
      </c>
      <c r="B77">
        <v>53</v>
      </c>
      <c r="C77" t="s">
        <v>15</v>
      </c>
      <c r="D77" t="s">
        <v>36</v>
      </c>
      <c r="E77" t="s">
        <v>31</v>
      </c>
      <c r="F77">
        <v>20</v>
      </c>
      <c r="G77">
        <v>1057603</v>
      </c>
      <c r="H77" t="s">
        <v>34</v>
      </c>
      <c r="I77">
        <v>5</v>
      </c>
      <c r="J77" t="s">
        <v>20</v>
      </c>
      <c r="K77">
        <v>13</v>
      </c>
      <c r="L77">
        <v>4</v>
      </c>
      <c r="M77" t="s">
        <v>20</v>
      </c>
      <c r="N77" t="s">
        <v>20</v>
      </c>
    </row>
    <row r="78" spans="1:14">
      <c r="A78" t="s">
        <v>106</v>
      </c>
      <c r="B78">
        <v>59</v>
      </c>
      <c r="C78" t="s">
        <v>15</v>
      </c>
      <c r="D78" t="s">
        <v>36</v>
      </c>
      <c r="E78" t="s">
        <v>17</v>
      </c>
      <c r="F78">
        <v>6</v>
      </c>
      <c r="G78">
        <v>978954</v>
      </c>
      <c r="H78" t="s">
        <v>18</v>
      </c>
      <c r="I78">
        <v>2</v>
      </c>
      <c r="J78" t="s">
        <v>20</v>
      </c>
      <c r="K78">
        <v>41</v>
      </c>
      <c r="L78">
        <v>4</v>
      </c>
      <c r="M78" t="s">
        <v>19</v>
      </c>
      <c r="N78" t="s">
        <v>20</v>
      </c>
    </row>
    <row r="79" spans="1:14">
      <c r="A79" t="s">
        <v>107</v>
      </c>
      <c r="B79">
        <v>23</v>
      </c>
      <c r="C79" t="s">
        <v>15</v>
      </c>
      <c r="D79" t="s">
        <v>25</v>
      </c>
      <c r="E79" t="s">
        <v>23</v>
      </c>
      <c r="F79">
        <v>20</v>
      </c>
      <c r="G79">
        <v>1561508</v>
      </c>
      <c r="H79" t="s">
        <v>18</v>
      </c>
      <c r="I79">
        <v>3</v>
      </c>
      <c r="J79" t="s">
        <v>20</v>
      </c>
      <c r="K79">
        <v>28</v>
      </c>
      <c r="L79">
        <v>2</v>
      </c>
      <c r="M79" t="s">
        <v>20</v>
      </c>
      <c r="N79" t="s">
        <v>20</v>
      </c>
    </row>
    <row r="80" spans="1:14">
      <c r="A80" t="s">
        <v>108</v>
      </c>
      <c r="B80">
        <v>26</v>
      </c>
      <c r="C80" t="s">
        <v>15</v>
      </c>
      <c r="D80" t="s">
        <v>30</v>
      </c>
      <c r="E80" t="s">
        <v>31</v>
      </c>
      <c r="F80">
        <v>0</v>
      </c>
      <c r="G80">
        <v>1013213</v>
      </c>
      <c r="H80" t="s">
        <v>18</v>
      </c>
      <c r="I80">
        <v>7</v>
      </c>
      <c r="J80" t="s">
        <v>20</v>
      </c>
      <c r="K80">
        <v>7</v>
      </c>
      <c r="L80">
        <v>2</v>
      </c>
      <c r="M80" t="s">
        <v>20</v>
      </c>
      <c r="N80" t="s">
        <v>20</v>
      </c>
    </row>
    <row r="81" spans="1:14">
      <c r="A81" t="s">
        <v>109</v>
      </c>
      <c r="B81">
        <v>37</v>
      </c>
      <c r="C81" t="s">
        <v>15</v>
      </c>
      <c r="D81" t="s">
        <v>30</v>
      </c>
      <c r="E81" t="s">
        <v>17</v>
      </c>
      <c r="F81">
        <v>15</v>
      </c>
      <c r="G81">
        <v>490618</v>
      </c>
      <c r="H81" t="s">
        <v>34</v>
      </c>
      <c r="I81">
        <v>2</v>
      </c>
      <c r="J81" t="s">
        <v>19</v>
      </c>
      <c r="K81">
        <v>30</v>
      </c>
      <c r="L81">
        <v>2</v>
      </c>
      <c r="M81" t="s">
        <v>19</v>
      </c>
      <c r="N81" t="s">
        <v>19</v>
      </c>
    </row>
    <row r="82" spans="1:14">
      <c r="A82" t="s">
        <v>110</v>
      </c>
      <c r="B82">
        <v>45</v>
      </c>
      <c r="C82" t="s">
        <v>15</v>
      </c>
      <c r="D82" t="s">
        <v>36</v>
      </c>
      <c r="E82" t="s">
        <v>33</v>
      </c>
      <c r="F82">
        <v>8</v>
      </c>
      <c r="G82">
        <v>759484</v>
      </c>
      <c r="H82" t="s">
        <v>28</v>
      </c>
      <c r="I82">
        <v>6</v>
      </c>
      <c r="J82" t="s">
        <v>20</v>
      </c>
      <c r="K82">
        <v>44</v>
      </c>
      <c r="L82">
        <v>1</v>
      </c>
      <c r="M82" t="s">
        <v>20</v>
      </c>
      <c r="N82" t="s">
        <v>20</v>
      </c>
    </row>
    <row r="83" spans="1:14">
      <c r="A83" t="s">
        <v>111</v>
      </c>
      <c r="B83">
        <v>40</v>
      </c>
      <c r="C83" t="s">
        <v>22</v>
      </c>
      <c r="D83" t="s">
        <v>27</v>
      </c>
      <c r="E83" t="s">
        <v>17</v>
      </c>
      <c r="F83">
        <v>4</v>
      </c>
      <c r="G83">
        <v>716236</v>
      </c>
      <c r="H83" t="s">
        <v>28</v>
      </c>
      <c r="I83">
        <v>9</v>
      </c>
      <c r="J83" t="s">
        <v>19</v>
      </c>
      <c r="K83">
        <v>24</v>
      </c>
      <c r="L83">
        <v>3</v>
      </c>
      <c r="M83" t="s">
        <v>20</v>
      </c>
      <c r="N83" t="s">
        <v>20</v>
      </c>
    </row>
    <row r="84" spans="1:14">
      <c r="A84" t="s">
        <v>112</v>
      </c>
      <c r="B84">
        <v>52</v>
      </c>
      <c r="C84" t="s">
        <v>15</v>
      </c>
      <c r="D84" t="s">
        <v>36</v>
      </c>
      <c r="E84" t="s">
        <v>33</v>
      </c>
      <c r="F84">
        <v>20</v>
      </c>
      <c r="G84">
        <v>885312</v>
      </c>
      <c r="H84" t="s">
        <v>34</v>
      </c>
      <c r="I84">
        <v>2</v>
      </c>
      <c r="J84" t="s">
        <v>20</v>
      </c>
      <c r="K84">
        <v>4</v>
      </c>
      <c r="L84">
        <v>2</v>
      </c>
      <c r="M84" t="s">
        <v>20</v>
      </c>
      <c r="N84" t="s">
        <v>20</v>
      </c>
    </row>
    <row r="85" spans="1:14">
      <c r="A85" t="s">
        <v>113</v>
      </c>
      <c r="B85">
        <v>32</v>
      </c>
      <c r="C85" t="s">
        <v>15</v>
      </c>
      <c r="D85" t="s">
        <v>36</v>
      </c>
      <c r="E85" t="s">
        <v>31</v>
      </c>
      <c r="F85">
        <v>10</v>
      </c>
      <c r="G85">
        <v>466807</v>
      </c>
      <c r="H85" t="s">
        <v>18</v>
      </c>
      <c r="I85">
        <v>6</v>
      </c>
      <c r="J85" t="s">
        <v>19</v>
      </c>
      <c r="K85">
        <v>57</v>
      </c>
      <c r="L85">
        <v>4</v>
      </c>
      <c r="M85" t="s">
        <v>20</v>
      </c>
      <c r="N85" t="s">
        <v>20</v>
      </c>
    </row>
    <row r="86" spans="1:14">
      <c r="A86" t="s">
        <v>114</v>
      </c>
      <c r="B86">
        <v>22</v>
      </c>
      <c r="C86" t="s">
        <v>22</v>
      </c>
      <c r="D86" t="s">
        <v>16</v>
      </c>
      <c r="E86" t="s">
        <v>23</v>
      </c>
      <c r="F86">
        <v>1</v>
      </c>
      <c r="G86">
        <v>1554086</v>
      </c>
      <c r="H86" t="s">
        <v>18</v>
      </c>
      <c r="I86">
        <v>7</v>
      </c>
      <c r="J86" t="s">
        <v>19</v>
      </c>
      <c r="K86">
        <v>42</v>
      </c>
      <c r="L86">
        <v>4</v>
      </c>
      <c r="M86" t="s">
        <v>20</v>
      </c>
      <c r="N86" t="s">
        <v>19</v>
      </c>
    </row>
    <row r="87" spans="1:14">
      <c r="A87" t="s">
        <v>115</v>
      </c>
      <c r="B87">
        <v>41</v>
      </c>
      <c r="C87" t="s">
        <v>15</v>
      </c>
      <c r="D87" t="s">
        <v>27</v>
      </c>
      <c r="E87" t="s">
        <v>23</v>
      </c>
      <c r="F87">
        <v>7</v>
      </c>
      <c r="G87">
        <v>776548</v>
      </c>
      <c r="H87" t="s">
        <v>18</v>
      </c>
      <c r="I87">
        <v>9</v>
      </c>
      <c r="J87" t="s">
        <v>20</v>
      </c>
      <c r="K87">
        <v>52</v>
      </c>
      <c r="L87">
        <v>5</v>
      </c>
      <c r="M87" t="s">
        <v>20</v>
      </c>
      <c r="N87" t="s">
        <v>20</v>
      </c>
    </row>
    <row r="88" spans="1:14">
      <c r="A88" t="s">
        <v>116</v>
      </c>
      <c r="B88">
        <v>51</v>
      </c>
      <c r="C88" t="s">
        <v>22</v>
      </c>
      <c r="D88" t="s">
        <v>27</v>
      </c>
      <c r="E88" t="s">
        <v>23</v>
      </c>
      <c r="F88">
        <v>18</v>
      </c>
      <c r="G88">
        <v>718500</v>
      </c>
      <c r="H88" t="s">
        <v>34</v>
      </c>
      <c r="I88">
        <v>3</v>
      </c>
      <c r="J88" t="s">
        <v>19</v>
      </c>
      <c r="K88">
        <v>19</v>
      </c>
      <c r="L88">
        <v>1</v>
      </c>
      <c r="M88" t="s">
        <v>20</v>
      </c>
      <c r="N88" t="s">
        <v>19</v>
      </c>
    </row>
    <row r="89" spans="1:14">
      <c r="A89" t="s">
        <v>117</v>
      </c>
      <c r="B89">
        <v>39</v>
      </c>
      <c r="C89" t="s">
        <v>22</v>
      </c>
      <c r="D89" t="s">
        <v>25</v>
      </c>
      <c r="E89" t="s">
        <v>31</v>
      </c>
      <c r="F89">
        <v>15</v>
      </c>
      <c r="G89">
        <v>1603808</v>
      </c>
      <c r="H89" t="s">
        <v>18</v>
      </c>
      <c r="I89">
        <v>9</v>
      </c>
      <c r="J89" t="s">
        <v>20</v>
      </c>
      <c r="K89">
        <v>50</v>
      </c>
      <c r="L89">
        <v>4</v>
      </c>
      <c r="M89" t="s">
        <v>19</v>
      </c>
      <c r="N89" t="s">
        <v>20</v>
      </c>
    </row>
    <row r="90" spans="1:14">
      <c r="A90" t="s">
        <v>118</v>
      </c>
      <c r="B90">
        <v>22</v>
      </c>
      <c r="C90" t="s">
        <v>22</v>
      </c>
      <c r="D90" t="s">
        <v>36</v>
      </c>
      <c r="E90" t="s">
        <v>33</v>
      </c>
      <c r="F90">
        <v>5</v>
      </c>
      <c r="G90">
        <v>642134</v>
      </c>
      <c r="H90" t="s">
        <v>18</v>
      </c>
      <c r="I90">
        <v>7</v>
      </c>
      <c r="J90" t="s">
        <v>19</v>
      </c>
      <c r="K90">
        <v>2</v>
      </c>
      <c r="L90">
        <v>1</v>
      </c>
      <c r="M90" t="s">
        <v>20</v>
      </c>
      <c r="N90" t="s">
        <v>20</v>
      </c>
    </row>
    <row r="91" spans="1:14">
      <c r="A91" t="s">
        <v>119</v>
      </c>
      <c r="B91">
        <v>59</v>
      </c>
      <c r="C91" t="s">
        <v>22</v>
      </c>
      <c r="D91" t="s">
        <v>36</v>
      </c>
      <c r="E91" t="s">
        <v>31</v>
      </c>
      <c r="F91">
        <v>7</v>
      </c>
      <c r="G91">
        <v>446446</v>
      </c>
      <c r="H91" t="s">
        <v>18</v>
      </c>
      <c r="I91">
        <v>8</v>
      </c>
      <c r="J91" t="s">
        <v>20</v>
      </c>
      <c r="K91">
        <v>58</v>
      </c>
      <c r="L91">
        <v>4</v>
      </c>
      <c r="M91" t="s">
        <v>20</v>
      </c>
      <c r="N91" t="s">
        <v>20</v>
      </c>
    </row>
    <row r="92" spans="1:14">
      <c r="A92" t="s">
        <v>120</v>
      </c>
      <c r="B92">
        <v>33</v>
      </c>
      <c r="C92" t="s">
        <v>15</v>
      </c>
      <c r="D92" t="s">
        <v>30</v>
      </c>
      <c r="E92" t="s">
        <v>17</v>
      </c>
      <c r="F92">
        <v>19</v>
      </c>
      <c r="G92">
        <v>1446048</v>
      </c>
      <c r="H92" t="s">
        <v>28</v>
      </c>
      <c r="I92">
        <v>2</v>
      </c>
      <c r="J92" t="s">
        <v>20</v>
      </c>
      <c r="K92">
        <v>6</v>
      </c>
      <c r="L92">
        <v>4</v>
      </c>
      <c r="M92" t="s">
        <v>20</v>
      </c>
      <c r="N92" t="s">
        <v>20</v>
      </c>
    </row>
    <row r="93" spans="1:14">
      <c r="A93" t="s">
        <v>121</v>
      </c>
      <c r="B93">
        <v>46</v>
      </c>
      <c r="C93" t="s">
        <v>15</v>
      </c>
      <c r="D93" t="s">
        <v>36</v>
      </c>
      <c r="E93" t="s">
        <v>33</v>
      </c>
      <c r="F93">
        <v>6</v>
      </c>
      <c r="G93">
        <v>603582</v>
      </c>
      <c r="H93" t="s">
        <v>18</v>
      </c>
      <c r="I93">
        <v>6</v>
      </c>
      <c r="J93" t="s">
        <v>20</v>
      </c>
      <c r="K93">
        <v>11</v>
      </c>
      <c r="L93">
        <v>2</v>
      </c>
      <c r="M93" t="s">
        <v>20</v>
      </c>
      <c r="N93" t="s">
        <v>20</v>
      </c>
    </row>
    <row r="94" spans="1:14">
      <c r="A94" t="s">
        <v>122</v>
      </c>
      <c r="B94">
        <v>41</v>
      </c>
      <c r="C94" t="s">
        <v>15</v>
      </c>
      <c r="D94" t="s">
        <v>36</v>
      </c>
      <c r="E94" t="s">
        <v>33</v>
      </c>
      <c r="F94">
        <v>13</v>
      </c>
      <c r="G94">
        <v>348649</v>
      </c>
      <c r="H94" t="s">
        <v>28</v>
      </c>
      <c r="I94">
        <v>10</v>
      </c>
      <c r="J94" t="s">
        <v>20</v>
      </c>
      <c r="K94">
        <v>57</v>
      </c>
      <c r="L94">
        <v>1</v>
      </c>
      <c r="M94" t="s">
        <v>20</v>
      </c>
      <c r="N94" t="s">
        <v>20</v>
      </c>
    </row>
    <row r="95" spans="1:14">
      <c r="A95" t="s">
        <v>123</v>
      </c>
      <c r="B95">
        <v>45</v>
      </c>
      <c r="C95" t="s">
        <v>22</v>
      </c>
      <c r="D95" t="s">
        <v>30</v>
      </c>
      <c r="E95" t="s">
        <v>31</v>
      </c>
      <c r="F95">
        <v>18</v>
      </c>
      <c r="G95">
        <v>602177</v>
      </c>
      <c r="H95" t="s">
        <v>34</v>
      </c>
      <c r="I95">
        <v>9</v>
      </c>
      <c r="J95" t="s">
        <v>19</v>
      </c>
      <c r="K95">
        <v>14</v>
      </c>
      <c r="L95">
        <v>2</v>
      </c>
      <c r="M95" t="s">
        <v>19</v>
      </c>
      <c r="N95" t="s">
        <v>20</v>
      </c>
    </row>
    <row r="96" spans="1:14">
      <c r="A96" t="s">
        <v>124</v>
      </c>
      <c r="B96">
        <v>21</v>
      </c>
      <c r="C96" t="s">
        <v>22</v>
      </c>
      <c r="D96" t="s">
        <v>30</v>
      </c>
      <c r="E96" t="s">
        <v>17</v>
      </c>
      <c r="F96">
        <v>13</v>
      </c>
      <c r="G96">
        <v>1109333</v>
      </c>
      <c r="H96" t="s">
        <v>28</v>
      </c>
      <c r="I96">
        <v>9</v>
      </c>
      <c r="J96" t="s">
        <v>20</v>
      </c>
      <c r="K96">
        <v>49</v>
      </c>
      <c r="L96">
        <v>3</v>
      </c>
      <c r="M96" t="s">
        <v>19</v>
      </c>
      <c r="N96" t="s">
        <v>20</v>
      </c>
    </row>
    <row r="97" spans="1:14">
      <c r="A97" t="s">
        <v>125</v>
      </c>
      <c r="B97">
        <v>35</v>
      </c>
      <c r="C97" t="s">
        <v>15</v>
      </c>
      <c r="D97" t="s">
        <v>25</v>
      </c>
      <c r="E97" t="s">
        <v>17</v>
      </c>
      <c r="F97">
        <v>20</v>
      </c>
      <c r="G97">
        <v>519924</v>
      </c>
      <c r="H97" t="s">
        <v>28</v>
      </c>
      <c r="I97">
        <v>1</v>
      </c>
      <c r="J97" t="s">
        <v>20</v>
      </c>
      <c r="K97">
        <v>13</v>
      </c>
      <c r="L97">
        <v>4</v>
      </c>
      <c r="M97" t="s">
        <v>19</v>
      </c>
      <c r="N97" t="s">
        <v>20</v>
      </c>
    </row>
    <row r="98" spans="1:14">
      <c r="A98" t="s">
        <v>126</v>
      </c>
      <c r="B98">
        <v>57</v>
      </c>
      <c r="C98" t="s">
        <v>15</v>
      </c>
      <c r="D98" t="s">
        <v>36</v>
      </c>
      <c r="E98" t="s">
        <v>33</v>
      </c>
      <c r="F98">
        <v>13</v>
      </c>
      <c r="G98">
        <v>1661106</v>
      </c>
      <c r="H98" t="s">
        <v>18</v>
      </c>
      <c r="I98">
        <v>3</v>
      </c>
      <c r="J98" t="s">
        <v>20</v>
      </c>
      <c r="K98">
        <v>48</v>
      </c>
      <c r="L98">
        <v>3</v>
      </c>
      <c r="M98" t="s">
        <v>20</v>
      </c>
      <c r="N98" t="s">
        <v>20</v>
      </c>
    </row>
    <row r="99" spans="1:14">
      <c r="A99" t="s">
        <v>127</v>
      </c>
      <c r="B99">
        <v>44</v>
      </c>
      <c r="C99" t="s">
        <v>22</v>
      </c>
      <c r="D99" t="s">
        <v>30</v>
      </c>
      <c r="E99" t="s">
        <v>17</v>
      </c>
      <c r="F99">
        <v>3</v>
      </c>
      <c r="G99">
        <v>1637875</v>
      </c>
      <c r="H99" t="s">
        <v>34</v>
      </c>
      <c r="I99">
        <v>3</v>
      </c>
      <c r="J99" t="s">
        <v>20</v>
      </c>
      <c r="K99">
        <v>6</v>
      </c>
      <c r="L99">
        <v>4</v>
      </c>
      <c r="M99" t="s">
        <v>19</v>
      </c>
      <c r="N99" t="s">
        <v>20</v>
      </c>
    </row>
    <row r="100" spans="1:14">
      <c r="A100" t="s">
        <v>128</v>
      </c>
      <c r="B100">
        <v>32</v>
      </c>
      <c r="C100" t="s">
        <v>15</v>
      </c>
      <c r="D100" t="s">
        <v>25</v>
      </c>
      <c r="E100" t="s">
        <v>31</v>
      </c>
      <c r="F100">
        <v>13</v>
      </c>
      <c r="G100">
        <v>1277846</v>
      </c>
      <c r="H100" t="s">
        <v>34</v>
      </c>
      <c r="I100">
        <v>10</v>
      </c>
      <c r="J100" t="s">
        <v>20</v>
      </c>
      <c r="K100">
        <v>29</v>
      </c>
      <c r="L100">
        <v>5</v>
      </c>
      <c r="M100" t="s">
        <v>20</v>
      </c>
      <c r="N100" t="s">
        <v>20</v>
      </c>
    </row>
    <row r="101" spans="1:14">
      <c r="A101" t="s">
        <v>129</v>
      </c>
      <c r="B101">
        <v>25</v>
      </c>
      <c r="C101" t="s">
        <v>22</v>
      </c>
      <c r="D101" t="s">
        <v>30</v>
      </c>
      <c r="E101" t="s">
        <v>17</v>
      </c>
      <c r="F101">
        <v>5</v>
      </c>
      <c r="G101">
        <v>1261174</v>
      </c>
      <c r="H101" t="s">
        <v>18</v>
      </c>
      <c r="I101">
        <v>8</v>
      </c>
      <c r="J101" t="s">
        <v>20</v>
      </c>
      <c r="K101">
        <v>12</v>
      </c>
      <c r="L101">
        <v>2</v>
      </c>
      <c r="M101" t="s">
        <v>19</v>
      </c>
      <c r="N101" t="s">
        <v>20</v>
      </c>
    </row>
    <row r="102" spans="1:14">
      <c r="A102" t="s">
        <v>130</v>
      </c>
      <c r="B102">
        <v>31</v>
      </c>
      <c r="C102" t="s">
        <v>15</v>
      </c>
      <c r="D102" t="s">
        <v>30</v>
      </c>
      <c r="E102" t="s">
        <v>17</v>
      </c>
      <c r="F102">
        <v>5</v>
      </c>
      <c r="G102">
        <v>1622343</v>
      </c>
      <c r="H102" t="s">
        <v>34</v>
      </c>
      <c r="I102">
        <v>7</v>
      </c>
      <c r="J102" t="s">
        <v>19</v>
      </c>
      <c r="K102">
        <v>10</v>
      </c>
      <c r="L102">
        <v>5</v>
      </c>
      <c r="M102" t="s">
        <v>20</v>
      </c>
      <c r="N102" t="s">
        <v>20</v>
      </c>
    </row>
    <row r="103" spans="1:14">
      <c r="A103" t="s">
        <v>131</v>
      </c>
      <c r="B103">
        <v>59</v>
      </c>
      <c r="C103" t="s">
        <v>22</v>
      </c>
      <c r="D103" t="s">
        <v>27</v>
      </c>
      <c r="E103" t="s">
        <v>31</v>
      </c>
      <c r="F103">
        <v>15</v>
      </c>
      <c r="G103">
        <v>1002900</v>
      </c>
      <c r="H103" t="s">
        <v>28</v>
      </c>
      <c r="I103">
        <v>7</v>
      </c>
      <c r="J103" t="s">
        <v>19</v>
      </c>
      <c r="K103">
        <v>46</v>
      </c>
      <c r="L103">
        <v>1</v>
      </c>
      <c r="M103" t="s">
        <v>20</v>
      </c>
      <c r="N103" t="s">
        <v>20</v>
      </c>
    </row>
    <row r="104" spans="1:14">
      <c r="A104" t="s">
        <v>132</v>
      </c>
      <c r="B104">
        <v>26</v>
      </c>
      <c r="C104" t="s">
        <v>22</v>
      </c>
      <c r="D104" t="s">
        <v>30</v>
      </c>
      <c r="E104" t="s">
        <v>33</v>
      </c>
      <c r="F104">
        <v>17</v>
      </c>
      <c r="G104">
        <v>732714</v>
      </c>
      <c r="H104" t="s">
        <v>34</v>
      </c>
      <c r="I104">
        <v>5</v>
      </c>
      <c r="J104" t="s">
        <v>20</v>
      </c>
      <c r="K104">
        <v>2</v>
      </c>
      <c r="L104">
        <v>5</v>
      </c>
      <c r="M104" t="s">
        <v>20</v>
      </c>
      <c r="N104" t="s">
        <v>20</v>
      </c>
    </row>
    <row r="105" spans="1:14">
      <c r="A105" t="s">
        <v>133</v>
      </c>
      <c r="B105">
        <v>41</v>
      </c>
      <c r="C105" t="s">
        <v>22</v>
      </c>
      <c r="D105" t="s">
        <v>16</v>
      </c>
      <c r="E105" t="s">
        <v>31</v>
      </c>
      <c r="F105">
        <v>19</v>
      </c>
      <c r="G105">
        <v>794219</v>
      </c>
      <c r="H105" t="s">
        <v>34</v>
      </c>
      <c r="I105">
        <v>1</v>
      </c>
      <c r="J105" t="s">
        <v>19</v>
      </c>
      <c r="K105">
        <v>27</v>
      </c>
      <c r="L105">
        <v>1</v>
      </c>
      <c r="M105" t="s">
        <v>20</v>
      </c>
      <c r="N105" t="s">
        <v>19</v>
      </c>
    </row>
    <row r="106" spans="1:14">
      <c r="A106" t="s">
        <v>134</v>
      </c>
      <c r="B106">
        <v>55</v>
      </c>
      <c r="C106" t="s">
        <v>15</v>
      </c>
      <c r="D106" t="s">
        <v>30</v>
      </c>
      <c r="E106" t="s">
        <v>31</v>
      </c>
      <c r="F106">
        <v>8</v>
      </c>
      <c r="G106">
        <v>861146</v>
      </c>
      <c r="H106" t="s">
        <v>34</v>
      </c>
      <c r="I106">
        <v>9</v>
      </c>
      <c r="J106" t="s">
        <v>20</v>
      </c>
      <c r="K106">
        <v>47</v>
      </c>
      <c r="L106">
        <v>5</v>
      </c>
      <c r="M106" t="s">
        <v>20</v>
      </c>
      <c r="N106" t="s">
        <v>20</v>
      </c>
    </row>
    <row r="107" spans="1:14">
      <c r="A107" t="s">
        <v>135</v>
      </c>
      <c r="B107">
        <v>35</v>
      </c>
      <c r="C107" t="s">
        <v>22</v>
      </c>
      <c r="D107" t="s">
        <v>25</v>
      </c>
      <c r="E107" t="s">
        <v>33</v>
      </c>
      <c r="F107">
        <v>16</v>
      </c>
      <c r="G107">
        <v>1511436</v>
      </c>
      <c r="H107" t="s">
        <v>34</v>
      </c>
      <c r="I107">
        <v>8</v>
      </c>
      <c r="J107" t="s">
        <v>19</v>
      </c>
      <c r="K107">
        <v>24</v>
      </c>
      <c r="L107">
        <v>2</v>
      </c>
      <c r="M107" t="s">
        <v>19</v>
      </c>
      <c r="N107" t="s">
        <v>20</v>
      </c>
    </row>
    <row r="108" spans="1:14">
      <c r="A108" t="s">
        <v>136</v>
      </c>
      <c r="B108">
        <v>53</v>
      </c>
      <c r="C108" t="s">
        <v>22</v>
      </c>
      <c r="D108" t="s">
        <v>36</v>
      </c>
      <c r="E108" t="s">
        <v>31</v>
      </c>
      <c r="F108">
        <v>0</v>
      </c>
      <c r="G108">
        <v>408410</v>
      </c>
      <c r="H108" t="s">
        <v>28</v>
      </c>
      <c r="I108">
        <v>6</v>
      </c>
      <c r="J108" t="s">
        <v>20</v>
      </c>
      <c r="K108">
        <v>13</v>
      </c>
      <c r="L108">
        <v>2</v>
      </c>
      <c r="M108" t="s">
        <v>20</v>
      </c>
      <c r="N108" t="s">
        <v>20</v>
      </c>
    </row>
    <row r="109" spans="1:14">
      <c r="A109" t="s">
        <v>137</v>
      </c>
      <c r="B109">
        <v>21</v>
      </c>
      <c r="C109" t="s">
        <v>15</v>
      </c>
      <c r="D109" t="s">
        <v>25</v>
      </c>
      <c r="E109" t="s">
        <v>33</v>
      </c>
      <c r="F109">
        <v>9</v>
      </c>
      <c r="G109">
        <v>1267599</v>
      </c>
      <c r="H109" t="s">
        <v>34</v>
      </c>
      <c r="I109">
        <v>8</v>
      </c>
      <c r="J109" t="s">
        <v>20</v>
      </c>
      <c r="K109">
        <v>32</v>
      </c>
      <c r="L109">
        <v>4</v>
      </c>
      <c r="M109" t="s">
        <v>20</v>
      </c>
      <c r="N109" t="s">
        <v>20</v>
      </c>
    </row>
    <row r="110" spans="1:14">
      <c r="A110" t="s">
        <v>138</v>
      </c>
      <c r="B110">
        <v>24</v>
      </c>
      <c r="C110" t="s">
        <v>15</v>
      </c>
      <c r="D110" t="s">
        <v>27</v>
      </c>
      <c r="E110" t="s">
        <v>33</v>
      </c>
      <c r="F110">
        <v>7</v>
      </c>
      <c r="G110">
        <v>1161619</v>
      </c>
      <c r="H110" t="s">
        <v>34</v>
      </c>
      <c r="I110">
        <v>2</v>
      </c>
      <c r="J110" t="s">
        <v>19</v>
      </c>
      <c r="K110">
        <v>31</v>
      </c>
      <c r="L110">
        <v>1</v>
      </c>
      <c r="M110" t="s">
        <v>19</v>
      </c>
      <c r="N110" t="s">
        <v>19</v>
      </c>
    </row>
    <row r="111" spans="1:14">
      <c r="A111" t="s">
        <v>139</v>
      </c>
      <c r="B111">
        <v>53</v>
      </c>
      <c r="C111" t="s">
        <v>22</v>
      </c>
      <c r="D111" t="s">
        <v>36</v>
      </c>
      <c r="E111" t="s">
        <v>23</v>
      </c>
      <c r="F111">
        <v>15</v>
      </c>
      <c r="G111">
        <v>979690</v>
      </c>
      <c r="H111" t="s">
        <v>34</v>
      </c>
      <c r="I111">
        <v>2</v>
      </c>
      <c r="J111" t="s">
        <v>20</v>
      </c>
      <c r="K111">
        <v>53</v>
      </c>
      <c r="L111">
        <v>1</v>
      </c>
      <c r="M111" t="s">
        <v>20</v>
      </c>
      <c r="N111" t="s">
        <v>20</v>
      </c>
    </row>
    <row r="112" spans="1:14">
      <c r="A112" t="s">
        <v>140</v>
      </c>
      <c r="B112">
        <v>59</v>
      </c>
      <c r="C112" t="s">
        <v>22</v>
      </c>
      <c r="D112" t="s">
        <v>27</v>
      </c>
      <c r="E112" t="s">
        <v>17</v>
      </c>
      <c r="F112">
        <v>2</v>
      </c>
      <c r="G112">
        <v>524171</v>
      </c>
      <c r="H112" t="s">
        <v>28</v>
      </c>
      <c r="I112">
        <v>5</v>
      </c>
      <c r="J112" t="s">
        <v>19</v>
      </c>
      <c r="K112">
        <v>57</v>
      </c>
      <c r="L112">
        <v>1</v>
      </c>
      <c r="M112" t="s">
        <v>19</v>
      </c>
      <c r="N112" t="s">
        <v>20</v>
      </c>
    </row>
    <row r="113" spans="1:14">
      <c r="A113" t="s">
        <v>141</v>
      </c>
      <c r="B113">
        <v>35</v>
      </c>
      <c r="C113" t="s">
        <v>15</v>
      </c>
      <c r="D113" t="s">
        <v>30</v>
      </c>
      <c r="E113" t="s">
        <v>31</v>
      </c>
      <c r="F113">
        <v>1</v>
      </c>
      <c r="G113">
        <v>1660313</v>
      </c>
      <c r="H113" t="s">
        <v>18</v>
      </c>
      <c r="I113">
        <v>5</v>
      </c>
      <c r="J113" t="s">
        <v>20</v>
      </c>
      <c r="K113">
        <v>28</v>
      </c>
      <c r="L113">
        <v>4</v>
      </c>
      <c r="M113" t="s">
        <v>19</v>
      </c>
      <c r="N113" t="s">
        <v>20</v>
      </c>
    </row>
    <row r="114" spans="1:14">
      <c r="A114" t="s">
        <v>142</v>
      </c>
      <c r="B114">
        <v>24</v>
      </c>
      <c r="C114" t="s">
        <v>15</v>
      </c>
      <c r="D114" t="s">
        <v>36</v>
      </c>
      <c r="E114" t="s">
        <v>23</v>
      </c>
      <c r="F114">
        <v>14</v>
      </c>
      <c r="G114">
        <v>1339525</v>
      </c>
      <c r="H114" t="s">
        <v>18</v>
      </c>
      <c r="I114">
        <v>4</v>
      </c>
      <c r="J114" t="s">
        <v>20</v>
      </c>
      <c r="K114">
        <v>47</v>
      </c>
      <c r="L114">
        <v>3</v>
      </c>
      <c r="M114" t="s">
        <v>20</v>
      </c>
      <c r="N114" t="s">
        <v>20</v>
      </c>
    </row>
    <row r="115" spans="1:14">
      <c r="A115" t="s">
        <v>143</v>
      </c>
      <c r="B115">
        <v>44</v>
      </c>
      <c r="C115" t="s">
        <v>22</v>
      </c>
      <c r="D115" t="s">
        <v>16</v>
      </c>
      <c r="E115" t="s">
        <v>23</v>
      </c>
      <c r="F115">
        <v>0</v>
      </c>
      <c r="G115">
        <v>461131</v>
      </c>
      <c r="H115" t="s">
        <v>28</v>
      </c>
      <c r="I115">
        <v>7</v>
      </c>
      <c r="J115" t="s">
        <v>20</v>
      </c>
      <c r="K115">
        <v>40</v>
      </c>
      <c r="L115">
        <v>2</v>
      </c>
      <c r="M115" t="s">
        <v>20</v>
      </c>
      <c r="N115" t="s">
        <v>20</v>
      </c>
    </row>
    <row r="116" spans="1:14">
      <c r="A116" t="s">
        <v>144</v>
      </c>
      <c r="B116">
        <v>43</v>
      </c>
      <c r="C116" t="s">
        <v>15</v>
      </c>
      <c r="D116" t="s">
        <v>25</v>
      </c>
      <c r="E116" t="s">
        <v>33</v>
      </c>
      <c r="F116">
        <v>20</v>
      </c>
      <c r="G116">
        <v>1217002</v>
      </c>
      <c r="H116" t="s">
        <v>18</v>
      </c>
      <c r="I116">
        <v>10</v>
      </c>
      <c r="J116" t="s">
        <v>19</v>
      </c>
      <c r="K116">
        <v>29</v>
      </c>
      <c r="L116">
        <v>5</v>
      </c>
      <c r="M116" t="s">
        <v>20</v>
      </c>
      <c r="N116" t="s">
        <v>20</v>
      </c>
    </row>
    <row r="117" spans="1:14">
      <c r="A117" t="s">
        <v>145</v>
      </c>
      <c r="B117">
        <v>59</v>
      </c>
      <c r="C117" t="s">
        <v>15</v>
      </c>
      <c r="D117" t="s">
        <v>30</v>
      </c>
      <c r="E117" t="s">
        <v>33</v>
      </c>
      <c r="F117">
        <v>16</v>
      </c>
      <c r="G117">
        <v>416980</v>
      </c>
      <c r="H117" t="s">
        <v>28</v>
      </c>
      <c r="I117">
        <v>9</v>
      </c>
      <c r="J117" t="s">
        <v>19</v>
      </c>
      <c r="K117">
        <v>56</v>
      </c>
      <c r="L117">
        <v>1</v>
      </c>
      <c r="M117" t="s">
        <v>20</v>
      </c>
      <c r="N117" t="s">
        <v>20</v>
      </c>
    </row>
    <row r="118" spans="1:14">
      <c r="A118" t="s">
        <v>146</v>
      </c>
      <c r="B118">
        <v>50</v>
      </c>
      <c r="C118" t="s">
        <v>22</v>
      </c>
      <c r="D118" t="s">
        <v>27</v>
      </c>
      <c r="E118" t="s">
        <v>17</v>
      </c>
      <c r="F118">
        <v>19</v>
      </c>
      <c r="G118">
        <v>1424918</v>
      </c>
      <c r="H118" t="s">
        <v>18</v>
      </c>
      <c r="I118">
        <v>7</v>
      </c>
      <c r="J118" t="s">
        <v>20</v>
      </c>
      <c r="K118">
        <v>54</v>
      </c>
      <c r="L118">
        <v>2</v>
      </c>
      <c r="M118" t="s">
        <v>20</v>
      </c>
      <c r="N118" t="s">
        <v>20</v>
      </c>
    </row>
    <row r="119" spans="1:14">
      <c r="A119" t="s">
        <v>147</v>
      </c>
      <c r="B119">
        <v>38</v>
      </c>
      <c r="C119" t="s">
        <v>15</v>
      </c>
      <c r="D119" t="s">
        <v>16</v>
      </c>
      <c r="E119" t="s">
        <v>31</v>
      </c>
      <c r="F119">
        <v>15</v>
      </c>
      <c r="G119">
        <v>358025</v>
      </c>
      <c r="H119" t="s">
        <v>18</v>
      </c>
      <c r="I119">
        <v>9</v>
      </c>
      <c r="J119" t="s">
        <v>20</v>
      </c>
      <c r="K119">
        <v>0</v>
      </c>
      <c r="L119">
        <v>1</v>
      </c>
      <c r="M119" t="s">
        <v>19</v>
      </c>
      <c r="N119" t="s">
        <v>20</v>
      </c>
    </row>
    <row r="120" spans="1:14">
      <c r="A120" t="s">
        <v>148</v>
      </c>
      <c r="B120">
        <v>43</v>
      </c>
      <c r="C120" t="s">
        <v>22</v>
      </c>
      <c r="D120" t="s">
        <v>36</v>
      </c>
      <c r="E120" t="s">
        <v>17</v>
      </c>
      <c r="F120">
        <v>9</v>
      </c>
      <c r="G120">
        <v>1671990</v>
      </c>
      <c r="H120" t="s">
        <v>34</v>
      </c>
      <c r="I120">
        <v>10</v>
      </c>
      <c r="J120" t="s">
        <v>20</v>
      </c>
      <c r="K120">
        <v>28</v>
      </c>
      <c r="L120">
        <v>3</v>
      </c>
      <c r="M120" t="s">
        <v>20</v>
      </c>
      <c r="N120" t="s">
        <v>20</v>
      </c>
    </row>
    <row r="121" spans="1:14">
      <c r="A121" t="s">
        <v>149</v>
      </c>
      <c r="B121">
        <v>24</v>
      </c>
      <c r="C121" t="s">
        <v>15</v>
      </c>
      <c r="D121" t="s">
        <v>25</v>
      </c>
      <c r="E121" t="s">
        <v>23</v>
      </c>
      <c r="F121">
        <v>5</v>
      </c>
      <c r="G121">
        <v>501512</v>
      </c>
      <c r="H121" t="s">
        <v>28</v>
      </c>
      <c r="I121">
        <v>3</v>
      </c>
      <c r="J121" t="s">
        <v>19</v>
      </c>
      <c r="K121">
        <v>10</v>
      </c>
      <c r="L121">
        <v>4</v>
      </c>
      <c r="M121" t="s">
        <v>20</v>
      </c>
      <c r="N121" t="s">
        <v>19</v>
      </c>
    </row>
    <row r="122" spans="1:14">
      <c r="A122" t="s">
        <v>150</v>
      </c>
      <c r="B122">
        <v>26</v>
      </c>
      <c r="C122" t="s">
        <v>15</v>
      </c>
      <c r="D122" t="s">
        <v>30</v>
      </c>
      <c r="E122" t="s">
        <v>23</v>
      </c>
      <c r="F122">
        <v>14</v>
      </c>
      <c r="G122">
        <v>1174492</v>
      </c>
      <c r="H122" t="s">
        <v>28</v>
      </c>
      <c r="I122">
        <v>2</v>
      </c>
      <c r="J122" t="s">
        <v>20</v>
      </c>
      <c r="K122">
        <v>7</v>
      </c>
      <c r="L122">
        <v>2</v>
      </c>
      <c r="M122" t="s">
        <v>20</v>
      </c>
      <c r="N122" t="s">
        <v>20</v>
      </c>
    </row>
    <row r="123" spans="1:14">
      <c r="A123" t="s">
        <v>151</v>
      </c>
      <c r="B123">
        <v>35</v>
      </c>
      <c r="C123" t="s">
        <v>15</v>
      </c>
      <c r="D123" t="s">
        <v>27</v>
      </c>
      <c r="E123" t="s">
        <v>33</v>
      </c>
      <c r="F123">
        <v>8</v>
      </c>
      <c r="G123">
        <v>397356</v>
      </c>
      <c r="H123" t="s">
        <v>28</v>
      </c>
      <c r="I123">
        <v>8</v>
      </c>
      <c r="J123" t="s">
        <v>20</v>
      </c>
      <c r="K123">
        <v>56</v>
      </c>
      <c r="L123">
        <v>3</v>
      </c>
      <c r="M123" t="s">
        <v>20</v>
      </c>
      <c r="N123" t="s">
        <v>20</v>
      </c>
    </row>
    <row r="124" spans="1:14">
      <c r="A124" t="s">
        <v>152</v>
      </c>
      <c r="B124">
        <v>30</v>
      </c>
      <c r="C124" t="s">
        <v>15</v>
      </c>
      <c r="D124" t="s">
        <v>25</v>
      </c>
      <c r="E124" t="s">
        <v>31</v>
      </c>
      <c r="F124">
        <v>19</v>
      </c>
      <c r="G124">
        <v>337186</v>
      </c>
      <c r="H124" t="s">
        <v>28</v>
      </c>
      <c r="I124">
        <v>5</v>
      </c>
      <c r="J124" t="s">
        <v>20</v>
      </c>
      <c r="K124">
        <v>6</v>
      </c>
      <c r="L124">
        <v>2</v>
      </c>
      <c r="M124" t="s">
        <v>20</v>
      </c>
      <c r="N124" t="s">
        <v>19</v>
      </c>
    </row>
    <row r="125" spans="1:14">
      <c r="A125" t="s">
        <v>153</v>
      </c>
      <c r="B125">
        <v>28</v>
      </c>
      <c r="C125" t="s">
        <v>15</v>
      </c>
      <c r="D125" t="s">
        <v>16</v>
      </c>
      <c r="E125" t="s">
        <v>33</v>
      </c>
      <c r="F125">
        <v>2</v>
      </c>
      <c r="G125">
        <v>1486654</v>
      </c>
      <c r="H125" t="s">
        <v>28</v>
      </c>
      <c r="I125">
        <v>10</v>
      </c>
      <c r="J125" t="s">
        <v>20</v>
      </c>
      <c r="K125">
        <v>60</v>
      </c>
      <c r="L125">
        <v>2</v>
      </c>
      <c r="M125" t="s">
        <v>20</v>
      </c>
      <c r="N125" t="s">
        <v>20</v>
      </c>
    </row>
    <row r="126" spans="1:14">
      <c r="A126" t="s">
        <v>154</v>
      </c>
      <c r="B126">
        <v>42</v>
      </c>
      <c r="C126" t="s">
        <v>22</v>
      </c>
      <c r="D126" t="s">
        <v>36</v>
      </c>
      <c r="E126" t="s">
        <v>31</v>
      </c>
      <c r="F126">
        <v>9</v>
      </c>
      <c r="G126">
        <v>317289</v>
      </c>
      <c r="H126" t="s">
        <v>18</v>
      </c>
      <c r="I126">
        <v>4</v>
      </c>
      <c r="J126" t="s">
        <v>19</v>
      </c>
      <c r="K126">
        <v>21</v>
      </c>
      <c r="L126">
        <v>5</v>
      </c>
      <c r="M126" t="s">
        <v>19</v>
      </c>
      <c r="N126" t="s">
        <v>19</v>
      </c>
    </row>
    <row r="127" spans="1:14">
      <c r="A127" t="s">
        <v>155</v>
      </c>
      <c r="B127">
        <v>32</v>
      </c>
      <c r="C127" t="s">
        <v>22</v>
      </c>
      <c r="D127" t="s">
        <v>27</v>
      </c>
      <c r="E127" t="s">
        <v>31</v>
      </c>
      <c r="F127">
        <v>0</v>
      </c>
      <c r="G127">
        <v>324308</v>
      </c>
      <c r="H127" t="s">
        <v>28</v>
      </c>
      <c r="I127">
        <v>2</v>
      </c>
      <c r="J127" t="s">
        <v>20</v>
      </c>
      <c r="K127">
        <v>40</v>
      </c>
      <c r="L127">
        <v>2</v>
      </c>
      <c r="M127" t="s">
        <v>20</v>
      </c>
      <c r="N127" t="s">
        <v>19</v>
      </c>
    </row>
    <row r="128" spans="1:14">
      <c r="A128" t="s">
        <v>156</v>
      </c>
      <c r="B128">
        <v>49</v>
      </c>
      <c r="C128" t="s">
        <v>15</v>
      </c>
      <c r="D128" t="s">
        <v>25</v>
      </c>
      <c r="E128" t="s">
        <v>23</v>
      </c>
      <c r="F128">
        <v>6</v>
      </c>
      <c r="G128">
        <v>330340</v>
      </c>
      <c r="H128" t="s">
        <v>34</v>
      </c>
      <c r="I128">
        <v>4</v>
      </c>
      <c r="J128" t="s">
        <v>20</v>
      </c>
      <c r="K128">
        <v>20</v>
      </c>
      <c r="L128">
        <v>3</v>
      </c>
      <c r="M128" t="s">
        <v>20</v>
      </c>
      <c r="N128" t="s">
        <v>19</v>
      </c>
    </row>
    <row r="129" spans="1:14">
      <c r="A129" t="s">
        <v>157</v>
      </c>
      <c r="B129">
        <v>36</v>
      </c>
      <c r="C129" t="s">
        <v>22</v>
      </c>
      <c r="D129" t="s">
        <v>16</v>
      </c>
      <c r="E129" t="s">
        <v>33</v>
      </c>
      <c r="F129">
        <v>18</v>
      </c>
      <c r="G129">
        <v>787232</v>
      </c>
      <c r="H129" t="s">
        <v>18</v>
      </c>
      <c r="I129">
        <v>1</v>
      </c>
      <c r="J129" t="s">
        <v>20</v>
      </c>
      <c r="K129">
        <v>16</v>
      </c>
      <c r="L129">
        <v>3</v>
      </c>
      <c r="M129" t="s">
        <v>20</v>
      </c>
      <c r="N129" t="s">
        <v>20</v>
      </c>
    </row>
    <row r="130" spans="1:14">
      <c r="A130" t="s">
        <v>158</v>
      </c>
      <c r="B130">
        <v>25</v>
      </c>
      <c r="C130" t="s">
        <v>22</v>
      </c>
      <c r="D130" t="s">
        <v>16</v>
      </c>
      <c r="E130" t="s">
        <v>23</v>
      </c>
      <c r="F130">
        <v>5</v>
      </c>
      <c r="G130">
        <v>726564</v>
      </c>
      <c r="H130" t="s">
        <v>28</v>
      </c>
      <c r="I130">
        <v>5</v>
      </c>
      <c r="J130" t="s">
        <v>19</v>
      </c>
      <c r="K130">
        <v>8</v>
      </c>
      <c r="L130">
        <v>5</v>
      </c>
      <c r="M130" t="s">
        <v>20</v>
      </c>
      <c r="N130" t="s">
        <v>20</v>
      </c>
    </row>
    <row r="131" spans="1:14">
      <c r="A131" t="s">
        <v>159</v>
      </c>
      <c r="B131">
        <v>52</v>
      </c>
      <c r="C131" t="s">
        <v>15</v>
      </c>
      <c r="D131" t="s">
        <v>30</v>
      </c>
      <c r="E131" t="s">
        <v>33</v>
      </c>
      <c r="F131">
        <v>11</v>
      </c>
      <c r="G131">
        <v>695899</v>
      </c>
      <c r="H131" t="s">
        <v>18</v>
      </c>
      <c r="I131">
        <v>8</v>
      </c>
      <c r="J131" t="s">
        <v>19</v>
      </c>
      <c r="K131">
        <v>34</v>
      </c>
      <c r="L131">
        <v>4</v>
      </c>
      <c r="M131" t="s">
        <v>19</v>
      </c>
      <c r="N131" t="s">
        <v>20</v>
      </c>
    </row>
    <row r="132" spans="1:14">
      <c r="A132" t="s">
        <v>160</v>
      </c>
      <c r="B132">
        <v>28</v>
      </c>
      <c r="C132" t="s">
        <v>15</v>
      </c>
      <c r="D132" t="s">
        <v>25</v>
      </c>
      <c r="E132" t="s">
        <v>23</v>
      </c>
      <c r="F132">
        <v>15</v>
      </c>
      <c r="G132">
        <v>1617336</v>
      </c>
      <c r="H132" t="s">
        <v>28</v>
      </c>
      <c r="I132">
        <v>9</v>
      </c>
      <c r="J132" t="s">
        <v>20</v>
      </c>
      <c r="K132">
        <v>8</v>
      </c>
      <c r="L132">
        <v>5</v>
      </c>
      <c r="M132" t="s">
        <v>19</v>
      </c>
      <c r="N132" t="s">
        <v>20</v>
      </c>
    </row>
    <row r="133" spans="1:14">
      <c r="A133" t="s">
        <v>161</v>
      </c>
      <c r="B133">
        <v>37</v>
      </c>
      <c r="C133" t="s">
        <v>22</v>
      </c>
      <c r="D133" t="s">
        <v>30</v>
      </c>
      <c r="E133" t="s">
        <v>33</v>
      </c>
      <c r="F133">
        <v>7</v>
      </c>
      <c r="G133">
        <v>1371376</v>
      </c>
      <c r="H133" t="s">
        <v>34</v>
      </c>
      <c r="I133">
        <v>10</v>
      </c>
      <c r="J133" t="s">
        <v>20</v>
      </c>
      <c r="K133">
        <v>51</v>
      </c>
      <c r="L133">
        <v>4</v>
      </c>
      <c r="M133" t="s">
        <v>20</v>
      </c>
      <c r="N133" t="s">
        <v>20</v>
      </c>
    </row>
    <row r="134" spans="1:14">
      <c r="A134" t="s">
        <v>162</v>
      </c>
      <c r="B134">
        <v>49</v>
      </c>
      <c r="C134" t="s">
        <v>15</v>
      </c>
      <c r="D134" t="s">
        <v>25</v>
      </c>
      <c r="E134" t="s">
        <v>33</v>
      </c>
      <c r="F134">
        <v>19</v>
      </c>
      <c r="G134">
        <v>1694203</v>
      </c>
      <c r="H134" t="s">
        <v>34</v>
      </c>
      <c r="I134">
        <v>1</v>
      </c>
      <c r="J134" t="s">
        <v>20</v>
      </c>
      <c r="K134">
        <v>7</v>
      </c>
      <c r="L134">
        <v>5</v>
      </c>
      <c r="M134" t="s">
        <v>19</v>
      </c>
      <c r="N134" t="s">
        <v>20</v>
      </c>
    </row>
    <row r="135" spans="1:14">
      <c r="A135" t="s">
        <v>163</v>
      </c>
      <c r="B135">
        <v>45</v>
      </c>
      <c r="C135" t="s">
        <v>22</v>
      </c>
      <c r="D135" t="s">
        <v>16</v>
      </c>
      <c r="E135" t="s">
        <v>31</v>
      </c>
      <c r="F135">
        <v>3</v>
      </c>
      <c r="G135">
        <v>470903</v>
      </c>
      <c r="H135" t="s">
        <v>34</v>
      </c>
      <c r="I135">
        <v>7</v>
      </c>
      <c r="J135" t="s">
        <v>20</v>
      </c>
      <c r="K135">
        <v>20</v>
      </c>
      <c r="L135">
        <v>4</v>
      </c>
      <c r="M135" t="s">
        <v>20</v>
      </c>
      <c r="N135" t="s">
        <v>20</v>
      </c>
    </row>
    <row r="136" spans="1:14">
      <c r="A136" t="s">
        <v>164</v>
      </c>
      <c r="B136">
        <v>38</v>
      </c>
      <c r="C136" t="s">
        <v>22</v>
      </c>
      <c r="D136" t="s">
        <v>25</v>
      </c>
      <c r="E136" t="s">
        <v>31</v>
      </c>
      <c r="F136">
        <v>19</v>
      </c>
      <c r="G136">
        <v>1680750</v>
      </c>
      <c r="H136" t="s">
        <v>18</v>
      </c>
      <c r="I136">
        <v>6</v>
      </c>
      <c r="J136" t="s">
        <v>20</v>
      </c>
      <c r="K136">
        <v>11</v>
      </c>
      <c r="L136">
        <v>5</v>
      </c>
      <c r="M136" t="s">
        <v>20</v>
      </c>
      <c r="N136" t="s">
        <v>20</v>
      </c>
    </row>
    <row r="137" spans="1:14">
      <c r="A137" t="s">
        <v>165</v>
      </c>
      <c r="B137">
        <v>33</v>
      </c>
      <c r="C137" t="s">
        <v>15</v>
      </c>
      <c r="D137" t="s">
        <v>16</v>
      </c>
      <c r="E137" t="s">
        <v>17</v>
      </c>
      <c r="F137">
        <v>17</v>
      </c>
      <c r="G137">
        <v>949310</v>
      </c>
      <c r="H137" t="s">
        <v>34</v>
      </c>
      <c r="I137">
        <v>9</v>
      </c>
      <c r="J137" t="s">
        <v>20</v>
      </c>
      <c r="K137">
        <v>27</v>
      </c>
      <c r="L137">
        <v>4</v>
      </c>
      <c r="M137" t="s">
        <v>20</v>
      </c>
      <c r="N137" t="s">
        <v>20</v>
      </c>
    </row>
    <row r="138" spans="1:14">
      <c r="A138" t="s">
        <v>166</v>
      </c>
      <c r="B138">
        <v>22</v>
      </c>
      <c r="C138" t="s">
        <v>15</v>
      </c>
      <c r="D138" t="s">
        <v>16</v>
      </c>
      <c r="E138" t="s">
        <v>23</v>
      </c>
      <c r="F138">
        <v>20</v>
      </c>
      <c r="G138">
        <v>1109055</v>
      </c>
      <c r="H138" t="s">
        <v>28</v>
      </c>
      <c r="I138">
        <v>5</v>
      </c>
      <c r="J138" t="s">
        <v>20</v>
      </c>
      <c r="K138">
        <v>48</v>
      </c>
      <c r="L138">
        <v>4</v>
      </c>
      <c r="M138" t="s">
        <v>19</v>
      </c>
      <c r="N138" t="s">
        <v>20</v>
      </c>
    </row>
    <row r="139" spans="1:14">
      <c r="A139" t="s">
        <v>167</v>
      </c>
      <c r="B139">
        <v>25</v>
      </c>
      <c r="C139" t="s">
        <v>22</v>
      </c>
      <c r="D139" t="s">
        <v>30</v>
      </c>
      <c r="E139" t="s">
        <v>17</v>
      </c>
      <c r="F139">
        <v>1</v>
      </c>
      <c r="G139">
        <v>338000</v>
      </c>
      <c r="H139" t="s">
        <v>18</v>
      </c>
      <c r="I139">
        <v>4</v>
      </c>
      <c r="J139" t="s">
        <v>19</v>
      </c>
      <c r="K139">
        <v>3</v>
      </c>
      <c r="L139">
        <v>5</v>
      </c>
      <c r="M139" t="s">
        <v>20</v>
      </c>
      <c r="N139" t="s">
        <v>19</v>
      </c>
    </row>
    <row r="140" spans="1:14">
      <c r="A140" t="s">
        <v>168</v>
      </c>
      <c r="B140">
        <v>43</v>
      </c>
      <c r="C140" t="s">
        <v>22</v>
      </c>
      <c r="D140" t="s">
        <v>16</v>
      </c>
      <c r="E140" t="s">
        <v>17</v>
      </c>
      <c r="F140">
        <v>8</v>
      </c>
      <c r="G140">
        <v>885637</v>
      </c>
      <c r="H140" t="s">
        <v>34</v>
      </c>
      <c r="I140">
        <v>1</v>
      </c>
      <c r="J140" t="s">
        <v>20</v>
      </c>
      <c r="K140">
        <v>59</v>
      </c>
      <c r="L140">
        <v>5</v>
      </c>
      <c r="M140" t="s">
        <v>20</v>
      </c>
      <c r="N140" t="s">
        <v>20</v>
      </c>
    </row>
    <row r="141" spans="1:14">
      <c r="A141" t="s">
        <v>169</v>
      </c>
      <c r="B141">
        <v>23</v>
      </c>
      <c r="C141" t="s">
        <v>15</v>
      </c>
      <c r="D141" t="s">
        <v>16</v>
      </c>
      <c r="E141" t="s">
        <v>31</v>
      </c>
      <c r="F141">
        <v>9</v>
      </c>
      <c r="G141">
        <v>272514</v>
      </c>
      <c r="H141" t="s">
        <v>28</v>
      </c>
      <c r="I141">
        <v>10</v>
      </c>
      <c r="J141" t="s">
        <v>20</v>
      </c>
      <c r="K141">
        <v>56</v>
      </c>
      <c r="L141">
        <v>1</v>
      </c>
      <c r="M141" t="s">
        <v>20</v>
      </c>
      <c r="N141" t="s">
        <v>20</v>
      </c>
    </row>
    <row r="142" spans="1:14">
      <c r="A142" t="s">
        <v>170</v>
      </c>
      <c r="B142">
        <v>46</v>
      </c>
      <c r="C142" t="s">
        <v>22</v>
      </c>
      <c r="D142" t="s">
        <v>30</v>
      </c>
      <c r="E142" t="s">
        <v>33</v>
      </c>
      <c r="F142">
        <v>16</v>
      </c>
      <c r="G142">
        <v>1478594</v>
      </c>
      <c r="H142" t="s">
        <v>18</v>
      </c>
      <c r="I142">
        <v>3</v>
      </c>
      <c r="J142" t="s">
        <v>20</v>
      </c>
      <c r="K142">
        <v>30</v>
      </c>
      <c r="L142">
        <v>4</v>
      </c>
      <c r="M142" t="s">
        <v>20</v>
      </c>
      <c r="N142" t="s">
        <v>20</v>
      </c>
    </row>
    <row r="143" spans="1:14">
      <c r="A143" t="s">
        <v>171</v>
      </c>
      <c r="B143">
        <v>25</v>
      </c>
      <c r="C143" t="s">
        <v>15</v>
      </c>
      <c r="D143" t="s">
        <v>16</v>
      </c>
      <c r="E143" t="s">
        <v>23</v>
      </c>
      <c r="F143">
        <v>11</v>
      </c>
      <c r="G143">
        <v>980595</v>
      </c>
      <c r="H143" t="s">
        <v>34</v>
      </c>
      <c r="I143">
        <v>5</v>
      </c>
      <c r="J143" t="s">
        <v>19</v>
      </c>
      <c r="K143">
        <v>59</v>
      </c>
      <c r="L143">
        <v>1</v>
      </c>
      <c r="M143" t="s">
        <v>20</v>
      </c>
      <c r="N143" t="s">
        <v>20</v>
      </c>
    </row>
    <row r="144" spans="1:14">
      <c r="A144" t="s">
        <v>172</v>
      </c>
      <c r="B144">
        <v>37</v>
      </c>
      <c r="C144" t="s">
        <v>15</v>
      </c>
      <c r="D144" t="s">
        <v>36</v>
      </c>
      <c r="E144" t="s">
        <v>23</v>
      </c>
      <c r="F144">
        <v>13</v>
      </c>
      <c r="G144">
        <v>886933</v>
      </c>
      <c r="H144" t="s">
        <v>28</v>
      </c>
      <c r="I144">
        <v>10</v>
      </c>
      <c r="J144" t="s">
        <v>20</v>
      </c>
      <c r="K144">
        <v>46</v>
      </c>
      <c r="L144">
        <v>5</v>
      </c>
      <c r="M144" t="s">
        <v>20</v>
      </c>
      <c r="N144" t="s">
        <v>20</v>
      </c>
    </row>
    <row r="145" spans="1:14">
      <c r="A145" t="s">
        <v>173</v>
      </c>
      <c r="B145">
        <v>57</v>
      </c>
      <c r="C145" t="s">
        <v>22</v>
      </c>
      <c r="D145" t="s">
        <v>25</v>
      </c>
      <c r="E145" t="s">
        <v>31</v>
      </c>
      <c r="F145">
        <v>6</v>
      </c>
      <c r="G145">
        <v>1024384</v>
      </c>
      <c r="H145" t="s">
        <v>28</v>
      </c>
      <c r="I145">
        <v>2</v>
      </c>
      <c r="J145" t="s">
        <v>20</v>
      </c>
      <c r="K145">
        <v>6</v>
      </c>
      <c r="L145">
        <v>3</v>
      </c>
      <c r="M145" t="s">
        <v>20</v>
      </c>
      <c r="N145" t="s">
        <v>20</v>
      </c>
    </row>
    <row r="146" spans="1:14">
      <c r="A146" t="s">
        <v>174</v>
      </c>
      <c r="B146">
        <v>53</v>
      </c>
      <c r="C146" t="s">
        <v>15</v>
      </c>
      <c r="D146" t="s">
        <v>36</v>
      </c>
      <c r="E146" t="s">
        <v>17</v>
      </c>
      <c r="F146">
        <v>15</v>
      </c>
      <c r="G146">
        <v>566732</v>
      </c>
      <c r="H146" t="s">
        <v>34</v>
      </c>
      <c r="I146">
        <v>6</v>
      </c>
      <c r="J146" t="s">
        <v>19</v>
      </c>
      <c r="K146">
        <v>34</v>
      </c>
      <c r="L146">
        <v>1</v>
      </c>
      <c r="M146" t="s">
        <v>20</v>
      </c>
      <c r="N146" t="s">
        <v>20</v>
      </c>
    </row>
    <row r="147" spans="1:14">
      <c r="A147" t="s">
        <v>175</v>
      </c>
      <c r="B147">
        <v>59</v>
      </c>
      <c r="C147" t="s">
        <v>22</v>
      </c>
      <c r="D147" t="s">
        <v>25</v>
      </c>
      <c r="E147" t="s">
        <v>23</v>
      </c>
      <c r="F147">
        <v>7</v>
      </c>
      <c r="G147">
        <v>999579</v>
      </c>
      <c r="H147" t="s">
        <v>18</v>
      </c>
      <c r="I147">
        <v>10</v>
      </c>
      <c r="J147" t="s">
        <v>20</v>
      </c>
      <c r="K147">
        <v>31</v>
      </c>
      <c r="L147">
        <v>3</v>
      </c>
      <c r="M147" t="s">
        <v>19</v>
      </c>
      <c r="N147" t="s">
        <v>20</v>
      </c>
    </row>
    <row r="148" spans="1:14">
      <c r="A148" t="s">
        <v>176</v>
      </c>
      <c r="B148">
        <v>25</v>
      </c>
      <c r="C148" t="s">
        <v>15</v>
      </c>
      <c r="D148" t="s">
        <v>25</v>
      </c>
      <c r="E148" t="s">
        <v>33</v>
      </c>
      <c r="F148">
        <v>12</v>
      </c>
      <c r="G148">
        <v>1336951</v>
      </c>
      <c r="H148" t="s">
        <v>28</v>
      </c>
      <c r="I148">
        <v>6</v>
      </c>
      <c r="J148" t="s">
        <v>19</v>
      </c>
      <c r="K148">
        <v>24</v>
      </c>
      <c r="L148">
        <v>4</v>
      </c>
      <c r="M148" t="s">
        <v>20</v>
      </c>
      <c r="N148" t="s">
        <v>20</v>
      </c>
    </row>
    <row r="149" spans="1:14">
      <c r="A149" t="s">
        <v>177</v>
      </c>
      <c r="B149">
        <v>30</v>
      </c>
      <c r="C149" t="s">
        <v>15</v>
      </c>
      <c r="D149" t="s">
        <v>25</v>
      </c>
      <c r="E149" t="s">
        <v>33</v>
      </c>
      <c r="F149">
        <v>15</v>
      </c>
      <c r="G149">
        <v>1567850</v>
      </c>
      <c r="H149" t="s">
        <v>18</v>
      </c>
      <c r="I149">
        <v>5</v>
      </c>
      <c r="J149" t="s">
        <v>20</v>
      </c>
      <c r="K149">
        <v>57</v>
      </c>
      <c r="L149">
        <v>3</v>
      </c>
      <c r="M149" t="s">
        <v>20</v>
      </c>
      <c r="N149" t="s">
        <v>20</v>
      </c>
    </row>
    <row r="150" spans="1:14">
      <c r="A150" t="s">
        <v>178</v>
      </c>
      <c r="B150">
        <v>48</v>
      </c>
      <c r="C150" t="s">
        <v>15</v>
      </c>
      <c r="D150" t="s">
        <v>25</v>
      </c>
      <c r="E150" t="s">
        <v>23</v>
      </c>
      <c r="F150">
        <v>1</v>
      </c>
      <c r="G150">
        <v>766465</v>
      </c>
      <c r="H150" t="s">
        <v>18</v>
      </c>
      <c r="I150">
        <v>7</v>
      </c>
      <c r="J150" t="s">
        <v>20</v>
      </c>
      <c r="K150">
        <v>5</v>
      </c>
      <c r="L150">
        <v>5</v>
      </c>
      <c r="M150" t="s">
        <v>19</v>
      </c>
      <c r="N150" t="s">
        <v>20</v>
      </c>
    </row>
    <row r="151" spans="1:14">
      <c r="A151" t="s">
        <v>179</v>
      </c>
      <c r="B151">
        <v>26</v>
      </c>
      <c r="C151" t="s">
        <v>15</v>
      </c>
      <c r="D151" t="s">
        <v>30</v>
      </c>
      <c r="E151" t="s">
        <v>23</v>
      </c>
      <c r="F151">
        <v>0</v>
      </c>
      <c r="G151">
        <v>1284198</v>
      </c>
      <c r="H151" t="s">
        <v>34</v>
      </c>
      <c r="I151">
        <v>4</v>
      </c>
      <c r="J151" t="s">
        <v>20</v>
      </c>
      <c r="K151">
        <v>52</v>
      </c>
      <c r="L151">
        <v>5</v>
      </c>
      <c r="M151" t="s">
        <v>20</v>
      </c>
      <c r="N151" t="s">
        <v>20</v>
      </c>
    </row>
    <row r="152" spans="1:14">
      <c r="A152" t="s">
        <v>180</v>
      </c>
      <c r="B152">
        <v>25</v>
      </c>
      <c r="C152" t="s">
        <v>22</v>
      </c>
      <c r="D152" t="s">
        <v>27</v>
      </c>
      <c r="E152" t="s">
        <v>23</v>
      </c>
      <c r="F152">
        <v>10</v>
      </c>
      <c r="G152">
        <v>1504649</v>
      </c>
      <c r="H152" t="s">
        <v>28</v>
      </c>
      <c r="I152">
        <v>2</v>
      </c>
      <c r="J152" t="s">
        <v>20</v>
      </c>
      <c r="K152">
        <v>35</v>
      </c>
      <c r="L152">
        <v>2</v>
      </c>
      <c r="M152" t="s">
        <v>20</v>
      </c>
      <c r="N152" t="s">
        <v>20</v>
      </c>
    </row>
    <row r="153" spans="1:14">
      <c r="A153" t="s">
        <v>181</v>
      </c>
      <c r="B153">
        <v>54</v>
      </c>
      <c r="C153" t="s">
        <v>15</v>
      </c>
      <c r="D153" t="s">
        <v>27</v>
      </c>
      <c r="E153" t="s">
        <v>17</v>
      </c>
      <c r="F153">
        <v>6</v>
      </c>
      <c r="G153">
        <v>1686034</v>
      </c>
      <c r="H153" t="s">
        <v>28</v>
      </c>
      <c r="I153">
        <v>5</v>
      </c>
      <c r="J153" t="s">
        <v>20</v>
      </c>
      <c r="K153">
        <v>42</v>
      </c>
      <c r="L153">
        <v>4</v>
      </c>
      <c r="M153" t="s">
        <v>20</v>
      </c>
      <c r="N153" t="s">
        <v>20</v>
      </c>
    </row>
    <row r="154" spans="1:14">
      <c r="A154" t="s">
        <v>182</v>
      </c>
      <c r="B154">
        <v>25</v>
      </c>
      <c r="C154" t="s">
        <v>22</v>
      </c>
      <c r="D154" t="s">
        <v>16</v>
      </c>
      <c r="E154" t="s">
        <v>17</v>
      </c>
      <c r="F154">
        <v>4</v>
      </c>
      <c r="G154">
        <v>622785</v>
      </c>
      <c r="H154" t="s">
        <v>18</v>
      </c>
      <c r="I154">
        <v>7</v>
      </c>
      <c r="J154" t="s">
        <v>20</v>
      </c>
      <c r="K154">
        <v>19</v>
      </c>
      <c r="L154">
        <v>3</v>
      </c>
      <c r="M154" t="s">
        <v>19</v>
      </c>
      <c r="N154" t="s">
        <v>20</v>
      </c>
    </row>
    <row r="155" spans="1:14">
      <c r="A155" t="s">
        <v>183</v>
      </c>
      <c r="B155">
        <v>30</v>
      </c>
      <c r="C155" t="s">
        <v>15</v>
      </c>
      <c r="D155" t="s">
        <v>36</v>
      </c>
      <c r="E155" t="s">
        <v>33</v>
      </c>
      <c r="F155">
        <v>17</v>
      </c>
      <c r="G155">
        <v>533034</v>
      </c>
      <c r="H155" t="s">
        <v>28</v>
      </c>
      <c r="I155">
        <v>1</v>
      </c>
      <c r="J155" t="s">
        <v>19</v>
      </c>
      <c r="K155">
        <v>15</v>
      </c>
      <c r="L155">
        <v>4</v>
      </c>
      <c r="M155" t="s">
        <v>19</v>
      </c>
      <c r="N155" t="s">
        <v>19</v>
      </c>
    </row>
    <row r="156" spans="1:14">
      <c r="A156" t="s">
        <v>184</v>
      </c>
      <c r="B156">
        <v>34</v>
      </c>
      <c r="C156" t="s">
        <v>15</v>
      </c>
      <c r="D156" t="s">
        <v>30</v>
      </c>
      <c r="E156" t="s">
        <v>23</v>
      </c>
      <c r="F156">
        <v>3</v>
      </c>
      <c r="G156">
        <v>1014894</v>
      </c>
      <c r="H156" t="s">
        <v>18</v>
      </c>
      <c r="I156">
        <v>2</v>
      </c>
      <c r="J156" t="s">
        <v>19</v>
      </c>
      <c r="K156">
        <v>15</v>
      </c>
      <c r="L156">
        <v>5</v>
      </c>
      <c r="M156" t="s">
        <v>20</v>
      </c>
      <c r="N156" t="s">
        <v>19</v>
      </c>
    </row>
    <row r="157" spans="1:14">
      <c r="A157" t="s">
        <v>185</v>
      </c>
      <c r="B157">
        <v>34</v>
      </c>
      <c r="C157" t="s">
        <v>22</v>
      </c>
      <c r="D157" t="s">
        <v>36</v>
      </c>
      <c r="E157" t="s">
        <v>23</v>
      </c>
      <c r="F157">
        <v>10</v>
      </c>
      <c r="G157">
        <v>1710138</v>
      </c>
      <c r="H157" t="s">
        <v>34</v>
      </c>
      <c r="I157">
        <v>10</v>
      </c>
      <c r="J157" t="s">
        <v>20</v>
      </c>
      <c r="K157">
        <v>44</v>
      </c>
      <c r="L157">
        <v>5</v>
      </c>
      <c r="M157" t="s">
        <v>19</v>
      </c>
      <c r="N157" t="s">
        <v>20</v>
      </c>
    </row>
    <row r="158" spans="1:14">
      <c r="A158" t="s">
        <v>186</v>
      </c>
      <c r="B158">
        <v>57</v>
      </c>
      <c r="C158" t="s">
        <v>22</v>
      </c>
      <c r="D158" t="s">
        <v>36</v>
      </c>
      <c r="E158" t="s">
        <v>17</v>
      </c>
      <c r="F158">
        <v>7</v>
      </c>
      <c r="G158">
        <v>697667</v>
      </c>
      <c r="H158" t="s">
        <v>28</v>
      </c>
      <c r="I158">
        <v>7</v>
      </c>
      <c r="J158" t="s">
        <v>20</v>
      </c>
      <c r="K158">
        <v>30</v>
      </c>
      <c r="L158">
        <v>5</v>
      </c>
      <c r="M158" t="s">
        <v>19</v>
      </c>
      <c r="N158" t="s">
        <v>20</v>
      </c>
    </row>
    <row r="159" spans="1:14">
      <c r="A159" t="s">
        <v>187</v>
      </c>
      <c r="B159">
        <v>40</v>
      </c>
      <c r="C159" t="s">
        <v>15</v>
      </c>
      <c r="D159" t="s">
        <v>25</v>
      </c>
      <c r="E159" t="s">
        <v>17</v>
      </c>
      <c r="F159">
        <v>8</v>
      </c>
      <c r="G159">
        <v>327488</v>
      </c>
      <c r="H159" t="s">
        <v>34</v>
      </c>
      <c r="I159">
        <v>1</v>
      </c>
      <c r="J159" t="s">
        <v>20</v>
      </c>
      <c r="K159">
        <v>56</v>
      </c>
      <c r="L159">
        <v>5</v>
      </c>
      <c r="M159" t="s">
        <v>20</v>
      </c>
      <c r="N159" t="s">
        <v>19</v>
      </c>
    </row>
    <row r="160" spans="1:14">
      <c r="A160" t="s">
        <v>188</v>
      </c>
      <c r="B160">
        <v>28</v>
      </c>
      <c r="C160" t="s">
        <v>22</v>
      </c>
      <c r="D160" t="s">
        <v>25</v>
      </c>
      <c r="E160" t="s">
        <v>31</v>
      </c>
      <c r="F160">
        <v>6</v>
      </c>
      <c r="G160">
        <v>1310218</v>
      </c>
      <c r="H160" t="s">
        <v>34</v>
      </c>
      <c r="I160">
        <v>10</v>
      </c>
      <c r="J160" t="s">
        <v>19</v>
      </c>
      <c r="K160">
        <v>3</v>
      </c>
      <c r="L160">
        <v>1</v>
      </c>
      <c r="M160" t="s">
        <v>20</v>
      </c>
      <c r="N160" t="s">
        <v>20</v>
      </c>
    </row>
    <row r="161" spans="1:14">
      <c r="A161" t="s">
        <v>189</v>
      </c>
      <c r="B161">
        <v>51</v>
      </c>
      <c r="C161" t="s">
        <v>15</v>
      </c>
      <c r="D161" t="s">
        <v>30</v>
      </c>
      <c r="E161" t="s">
        <v>17</v>
      </c>
      <c r="F161">
        <v>17</v>
      </c>
      <c r="G161">
        <v>1433119</v>
      </c>
      <c r="H161" t="s">
        <v>18</v>
      </c>
      <c r="I161">
        <v>2</v>
      </c>
      <c r="J161" t="s">
        <v>19</v>
      </c>
      <c r="K161">
        <v>0</v>
      </c>
      <c r="L161">
        <v>3</v>
      </c>
      <c r="M161" t="s">
        <v>20</v>
      </c>
      <c r="N161" t="s">
        <v>19</v>
      </c>
    </row>
    <row r="162" spans="1:14">
      <c r="A162" t="s">
        <v>190</v>
      </c>
      <c r="B162">
        <v>21</v>
      </c>
      <c r="C162" t="s">
        <v>15</v>
      </c>
      <c r="D162" t="s">
        <v>36</v>
      </c>
      <c r="E162" t="s">
        <v>31</v>
      </c>
      <c r="F162">
        <v>8</v>
      </c>
      <c r="G162">
        <v>1600072</v>
      </c>
      <c r="H162" t="s">
        <v>18</v>
      </c>
      <c r="I162">
        <v>10</v>
      </c>
      <c r="J162" t="s">
        <v>20</v>
      </c>
      <c r="K162">
        <v>13</v>
      </c>
      <c r="L162">
        <v>2</v>
      </c>
      <c r="M162" t="s">
        <v>20</v>
      </c>
      <c r="N162" t="s">
        <v>20</v>
      </c>
    </row>
    <row r="163" spans="1:14">
      <c r="A163" t="s">
        <v>191</v>
      </c>
      <c r="B163">
        <v>44</v>
      </c>
      <c r="C163" t="s">
        <v>15</v>
      </c>
      <c r="D163" t="s">
        <v>25</v>
      </c>
      <c r="E163" t="s">
        <v>17</v>
      </c>
      <c r="F163">
        <v>7</v>
      </c>
      <c r="G163">
        <v>439054</v>
      </c>
      <c r="H163" t="s">
        <v>34</v>
      </c>
      <c r="I163">
        <v>9</v>
      </c>
      <c r="J163" t="s">
        <v>20</v>
      </c>
      <c r="K163">
        <v>54</v>
      </c>
      <c r="L163">
        <v>5</v>
      </c>
      <c r="M163" t="s">
        <v>20</v>
      </c>
      <c r="N163" t="s">
        <v>20</v>
      </c>
    </row>
    <row r="164" spans="1:14">
      <c r="A164" t="s">
        <v>192</v>
      </c>
      <c r="B164">
        <v>55</v>
      </c>
      <c r="C164" t="s">
        <v>15</v>
      </c>
      <c r="D164" t="s">
        <v>36</v>
      </c>
      <c r="E164" t="s">
        <v>33</v>
      </c>
      <c r="F164">
        <v>12</v>
      </c>
      <c r="G164">
        <v>465037</v>
      </c>
      <c r="H164" t="s">
        <v>28</v>
      </c>
      <c r="I164">
        <v>5</v>
      </c>
      <c r="J164" t="s">
        <v>20</v>
      </c>
      <c r="K164">
        <v>59</v>
      </c>
      <c r="L164">
        <v>2</v>
      </c>
      <c r="M164" t="s">
        <v>19</v>
      </c>
      <c r="N164" t="s">
        <v>20</v>
      </c>
    </row>
    <row r="165" spans="1:14">
      <c r="A165" t="s">
        <v>193</v>
      </c>
      <c r="B165">
        <v>48</v>
      </c>
      <c r="C165" t="s">
        <v>22</v>
      </c>
      <c r="D165" t="s">
        <v>16</v>
      </c>
      <c r="E165" t="s">
        <v>23</v>
      </c>
      <c r="F165">
        <v>2</v>
      </c>
      <c r="G165">
        <v>664664</v>
      </c>
      <c r="H165" t="s">
        <v>28</v>
      </c>
      <c r="I165">
        <v>1</v>
      </c>
      <c r="J165" t="s">
        <v>19</v>
      </c>
      <c r="K165">
        <v>46</v>
      </c>
      <c r="L165">
        <v>5</v>
      </c>
      <c r="M165" t="s">
        <v>20</v>
      </c>
      <c r="N165" t="s">
        <v>19</v>
      </c>
    </row>
    <row r="166" spans="1:14">
      <c r="A166" t="s">
        <v>194</v>
      </c>
      <c r="B166">
        <v>52</v>
      </c>
      <c r="C166" t="s">
        <v>15</v>
      </c>
      <c r="D166" t="s">
        <v>36</v>
      </c>
      <c r="E166" t="s">
        <v>31</v>
      </c>
      <c r="F166">
        <v>10</v>
      </c>
      <c r="G166">
        <v>746091</v>
      </c>
      <c r="H166" t="s">
        <v>34</v>
      </c>
      <c r="I166">
        <v>1</v>
      </c>
      <c r="J166" t="s">
        <v>20</v>
      </c>
      <c r="K166">
        <v>9</v>
      </c>
      <c r="L166">
        <v>2</v>
      </c>
      <c r="M166" t="s">
        <v>20</v>
      </c>
      <c r="N166" t="s">
        <v>20</v>
      </c>
    </row>
    <row r="167" spans="1:14">
      <c r="A167" t="s">
        <v>195</v>
      </c>
      <c r="B167">
        <v>43</v>
      </c>
      <c r="C167" t="s">
        <v>15</v>
      </c>
      <c r="D167" t="s">
        <v>25</v>
      </c>
      <c r="E167" t="s">
        <v>23</v>
      </c>
      <c r="F167">
        <v>2</v>
      </c>
      <c r="G167">
        <v>443563</v>
      </c>
      <c r="H167" t="s">
        <v>18</v>
      </c>
      <c r="I167">
        <v>9</v>
      </c>
      <c r="J167" t="s">
        <v>20</v>
      </c>
      <c r="K167">
        <v>53</v>
      </c>
      <c r="L167">
        <v>2</v>
      </c>
      <c r="M167" t="s">
        <v>20</v>
      </c>
      <c r="N167" t="s">
        <v>20</v>
      </c>
    </row>
    <row r="168" spans="1:14">
      <c r="A168" t="s">
        <v>196</v>
      </c>
      <c r="B168">
        <v>33</v>
      </c>
      <c r="C168" t="s">
        <v>15</v>
      </c>
      <c r="D168" t="s">
        <v>16</v>
      </c>
      <c r="E168" t="s">
        <v>33</v>
      </c>
      <c r="F168">
        <v>2</v>
      </c>
      <c r="G168">
        <v>949990</v>
      </c>
      <c r="H168" t="s">
        <v>34</v>
      </c>
      <c r="I168">
        <v>7</v>
      </c>
      <c r="J168" t="s">
        <v>20</v>
      </c>
      <c r="K168">
        <v>39</v>
      </c>
      <c r="L168">
        <v>3</v>
      </c>
      <c r="M168" t="s">
        <v>20</v>
      </c>
      <c r="N168" t="s">
        <v>20</v>
      </c>
    </row>
    <row r="169" spans="1:14">
      <c r="A169" t="s">
        <v>197</v>
      </c>
      <c r="B169">
        <v>50</v>
      </c>
      <c r="C169" t="s">
        <v>22</v>
      </c>
      <c r="D169" t="s">
        <v>27</v>
      </c>
      <c r="E169" t="s">
        <v>33</v>
      </c>
      <c r="F169">
        <v>2</v>
      </c>
      <c r="G169">
        <v>653484</v>
      </c>
      <c r="H169" t="s">
        <v>18</v>
      </c>
      <c r="I169">
        <v>8</v>
      </c>
      <c r="J169" t="s">
        <v>19</v>
      </c>
      <c r="K169">
        <v>49</v>
      </c>
      <c r="L169">
        <v>4</v>
      </c>
      <c r="M169" t="s">
        <v>20</v>
      </c>
      <c r="N169" t="s">
        <v>20</v>
      </c>
    </row>
    <row r="170" spans="1:14">
      <c r="A170" t="s">
        <v>198</v>
      </c>
      <c r="B170">
        <v>38</v>
      </c>
      <c r="C170" t="s">
        <v>22</v>
      </c>
      <c r="D170" t="s">
        <v>25</v>
      </c>
      <c r="E170" t="s">
        <v>31</v>
      </c>
      <c r="F170">
        <v>3</v>
      </c>
      <c r="G170">
        <v>517436</v>
      </c>
      <c r="H170" t="s">
        <v>34</v>
      </c>
      <c r="I170">
        <v>6</v>
      </c>
      <c r="J170" t="s">
        <v>19</v>
      </c>
      <c r="K170">
        <v>48</v>
      </c>
      <c r="L170">
        <v>5</v>
      </c>
      <c r="M170" t="s">
        <v>20</v>
      </c>
      <c r="N170" t="s">
        <v>20</v>
      </c>
    </row>
    <row r="171" spans="1:14">
      <c r="A171" t="s">
        <v>199</v>
      </c>
      <c r="B171">
        <v>36</v>
      </c>
      <c r="C171" t="s">
        <v>15</v>
      </c>
      <c r="D171" t="s">
        <v>30</v>
      </c>
      <c r="E171" t="s">
        <v>17</v>
      </c>
      <c r="F171">
        <v>18</v>
      </c>
      <c r="G171">
        <v>703832</v>
      </c>
      <c r="H171" t="s">
        <v>28</v>
      </c>
      <c r="I171">
        <v>8</v>
      </c>
      <c r="J171" t="s">
        <v>19</v>
      </c>
      <c r="K171">
        <v>14</v>
      </c>
      <c r="L171">
        <v>4</v>
      </c>
      <c r="M171" t="s">
        <v>20</v>
      </c>
      <c r="N171" t="s">
        <v>20</v>
      </c>
    </row>
    <row r="172" spans="1:14">
      <c r="A172" t="s">
        <v>200</v>
      </c>
      <c r="B172">
        <v>35</v>
      </c>
      <c r="C172" t="s">
        <v>22</v>
      </c>
      <c r="D172" t="s">
        <v>25</v>
      </c>
      <c r="E172" t="s">
        <v>33</v>
      </c>
      <c r="F172">
        <v>13</v>
      </c>
      <c r="G172">
        <v>641305</v>
      </c>
      <c r="H172" t="s">
        <v>18</v>
      </c>
      <c r="I172">
        <v>7</v>
      </c>
      <c r="J172" t="s">
        <v>20</v>
      </c>
      <c r="K172">
        <v>55</v>
      </c>
      <c r="L172">
        <v>3</v>
      </c>
      <c r="M172" t="s">
        <v>20</v>
      </c>
      <c r="N172" t="s">
        <v>20</v>
      </c>
    </row>
    <row r="173" spans="1:14">
      <c r="A173" t="s">
        <v>201</v>
      </c>
      <c r="B173">
        <v>41</v>
      </c>
      <c r="C173" t="s">
        <v>15</v>
      </c>
      <c r="D173" t="s">
        <v>36</v>
      </c>
      <c r="E173" t="s">
        <v>31</v>
      </c>
      <c r="F173">
        <v>20</v>
      </c>
      <c r="G173">
        <v>1260761</v>
      </c>
      <c r="H173" t="s">
        <v>28</v>
      </c>
      <c r="I173">
        <v>1</v>
      </c>
      <c r="J173" t="s">
        <v>20</v>
      </c>
      <c r="K173">
        <v>15</v>
      </c>
      <c r="L173">
        <v>3</v>
      </c>
      <c r="M173" t="s">
        <v>19</v>
      </c>
      <c r="N173" t="s">
        <v>20</v>
      </c>
    </row>
    <row r="174" spans="1:14">
      <c r="A174" t="s">
        <v>202</v>
      </c>
      <c r="B174">
        <v>53</v>
      </c>
      <c r="C174" t="s">
        <v>22</v>
      </c>
      <c r="D174" t="s">
        <v>25</v>
      </c>
      <c r="E174" t="s">
        <v>23</v>
      </c>
      <c r="F174">
        <v>19</v>
      </c>
      <c r="G174">
        <v>1543486</v>
      </c>
      <c r="H174" t="s">
        <v>34</v>
      </c>
      <c r="I174">
        <v>8</v>
      </c>
      <c r="J174" t="s">
        <v>20</v>
      </c>
      <c r="K174">
        <v>0</v>
      </c>
      <c r="L174">
        <v>4</v>
      </c>
      <c r="M174" t="s">
        <v>20</v>
      </c>
      <c r="N174" t="s">
        <v>20</v>
      </c>
    </row>
    <row r="175" spans="1:14">
      <c r="A175" t="s">
        <v>203</v>
      </c>
      <c r="B175">
        <v>23</v>
      </c>
      <c r="C175" t="s">
        <v>22</v>
      </c>
      <c r="D175" t="s">
        <v>27</v>
      </c>
      <c r="E175" t="s">
        <v>33</v>
      </c>
      <c r="F175">
        <v>4</v>
      </c>
      <c r="G175">
        <v>841928</v>
      </c>
      <c r="H175" t="s">
        <v>28</v>
      </c>
      <c r="I175">
        <v>10</v>
      </c>
      <c r="J175" t="s">
        <v>20</v>
      </c>
      <c r="K175">
        <v>22</v>
      </c>
      <c r="L175">
        <v>1</v>
      </c>
      <c r="M175" t="s">
        <v>19</v>
      </c>
      <c r="N175" t="s">
        <v>20</v>
      </c>
    </row>
    <row r="176" spans="1:14">
      <c r="A176" t="s">
        <v>204</v>
      </c>
      <c r="B176">
        <v>47</v>
      </c>
      <c r="C176" t="s">
        <v>15</v>
      </c>
      <c r="D176" t="s">
        <v>25</v>
      </c>
      <c r="E176" t="s">
        <v>23</v>
      </c>
      <c r="F176">
        <v>1</v>
      </c>
      <c r="G176">
        <v>1534173</v>
      </c>
      <c r="H176" t="s">
        <v>28</v>
      </c>
      <c r="I176">
        <v>5</v>
      </c>
      <c r="J176" t="s">
        <v>20</v>
      </c>
      <c r="K176">
        <v>36</v>
      </c>
      <c r="L176">
        <v>2</v>
      </c>
      <c r="M176" t="s">
        <v>20</v>
      </c>
      <c r="N176" t="s">
        <v>20</v>
      </c>
    </row>
    <row r="177" spans="1:14">
      <c r="A177" t="s">
        <v>205</v>
      </c>
      <c r="B177">
        <v>26</v>
      </c>
      <c r="C177" t="s">
        <v>22</v>
      </c>
      <c r="D177" t="s">
        <v>36</v>
      </c>
      <c r="E177" t="s">
        <v>33</v>
      </c>
      <c r="F177">
        <v>16</v>
      </c>
      <c r="G177">
        <v>1260608</v>
      </c>
      <c r="H177" t="s">
        <v>28</v>
      </c>
      <c r="I177">
        <v>7</v>
      </c>
      <c r="J177" t="s">
        <v>20</v>
      </c>
      <c r="K177">
        <v>30</v>
      </c>
      <c r="L177">
        <v>2</v>
      </c>
      <c r="M177" t="s">
        <v>19</v>
      </c>
      <c r="N177" t="s">
        <v>20</v>
      </c>
    </row>
    <row r="178" spans="1:14">
      <c r="A178" t="s">
        <v>206</v>
      </c>
      <c r="B178">
        <v>59</v>
      </c>
      <c r="C178" t="s">
        <v>22</v>
      </c>
      <c r="D178" t="s">
        <v>16</v>
      </c>
      <c r="E178" t="s">
        <v>17</v>
      </c>
      <c r="F178">
        <v>17</v>
      </c>
      <c r="G178">
        <v>437553</v>
      </c>
      <c r="H178" t="s">
        <v>28</v>
      </c>
      <c r="I178">
        <v>4</v>
      </c>
      <c r="J178" t="s">
        <v>20</v>
      </c>
      <c r="K178">
        <v>7</v>
      </c>
      <c r="L178">
        <v>4</v>
      </c>
      <c r="M178" t="s">
        <v>20</v>
      </c>
      <c r="N178" t="s">
        <v>20</v>
      </c>
    </row>
    <row r="179" spans="1:14">
      <c r="A179" t="s">
        <v>207</v>
      </c>
      <c r="B179">
        <v>30</v>
      </c>
      <c r="C179" t="s">
        <v>22</v>
      </c>
      <c r="D179" t="s">
        <v>16</v>
      </c>
      <c r="E179" t="s">
        <v>33</v>
      </c>
      <c r="F179">
        <v>9</v>
      </c>
      <c r="G179">
        <v>941406</v>
      </c>
      <c r="H179" t="s">
        <v>34</v>
      </c>
      <c r="I179">
        <v>9</v>
      </c>
      <c r="J179" t="s">
        <v>20</v>
      </c>
      <c r="K179">
        <v>42</v>
      </c>
      <c r="L179">
        <v>3</v>
      </c>
      <c r="M179" t="s">
        <v>20</v>
      </c>
      <c r="N179" t="s">
        <v>20</v>
      </c>
    </row>
    <row r="180" spans="1:14">
      <c r="A180" t="s">
        <v>208</v>
      </c>
      <c r="B180">
        <v>21</v>
      </c>
      <c r="C180" t="s">
        <v>22</v>
      </c>
      <c r="D180" t="s">
        <v>25</v>
      </c>
      <c r="E180" t="s">
        <v>23</v>
      </c>
      <c r="F180">
        <v>12</v>
      </c>
      <c r="G180">
        <v>1527344</v>
      </c>
      <c r="H180" t="s">
        <v>18</v>
      </c>
      <c r="I180">
        <v>7</v>
      </c>
      <c r="J180" t="s">
        <v>20</v>
      </c>
      <c r="K180">
        <v>37</v>
      </c>
      <c r="L180">
        <v>1</v>
      </c>
      <c r="M180" t="s">
        <v>19</v>
      </c>
      <c r="N180" t="s">
        <v>20</v>
      </c>
    </row>
    <row r="181" spans="1:14">
      <c r="A181" t="s">
        <v>209</v>
      </c>
      <c r="B181">
        <v>24</v>
      </c>
      <c r="C181" t="s">
        <v>15</v>
      </c>
      <c r="D181" t="s">
        <v>27</v>
      </c>
      <c r="E181" t="s">
        <v>31</v>
      </c>
      <c r="F181">
        <v>9</v>
      </c>
      <c r="G181">
        <v>1000317</v>
      </c>
      <c r="H181" t="s">
        <v>28</v>
      </c>
      <c r="I181">
        <v>2</v>
      </c>
      <c r="J181" t="s">
        <v>20</v>
      </c>
      <c r="K181">
        <v>5</v>
      </c>
      <c r="L181">
        <v>1</v>
      </c>
      <c r="M181" t="s">
        <v>20</v>
      </c>
      <c r="N181" t="s">
        <v>20</v>
      </c>
    </row>
    <row r="182" spans="1:14">
      <c r="A182" t="s">
        <v>210</v>
      </c>
      <c r="B182">
        <v>37</v>
      </c>
      <c r="C182" t="s">
        <v>22</v>
      </c>
      <c r="D182" t="s">
        <v>27</v>
      </c>
      <c r="E182" t="s">
        <v>23</v>
      </c>
      <c r="F182">
        <v>20</v>
      </c>
      <c r="G182">
        <v>1534591</v>
      </c>
      <c r="H182" t="s">
        <v>18</v>
      </c>
      <c r="I182">
        <v>8</v>
      </c>
      <c r="J182" t="s">
        <v>19</v>
      </c>
      <c r="K182">
        <v>21</v>
      </c>
      <c r="L182">
        <v>2</v>
      </c>
      <c r="M182" t="s">
        <v>20</v>
      </c>
      <c r="N182" t="s">
        <v>20</v>
      </c>
    </row>
    <row r="183" spans="1:14">
      <c r="A183" t="s">
        <v>211</v>
      </c>
      <c r="B183">
        <v>21</v>
      </c>
      <c r="C183" t="s">
        <v>22</v>
      </c>
      <c r="D183" t="s">
        <v>36</v>
      </c>
      <c r="E183" t="s">
        <v>33</v>
      </c>
      <c r="F183">
        <v>2</v>
      </c>
      <c r="G183">
        <v>1677541</v>
      </c>
      <c r="H183" t="s">
        <v>28</v>
      </c>
      <c r="I183">
        <v>1</v>
      </c>
      <c r="J183" t="s">
        <v>20</v>
      </c>
      <c r="K183">
        <v>6</v>
      </c>
      <c r="L183">
        <v>4</v>
      </c>
      <c r="M183" t="s">
        <v>20</v>
      </c>
      <c r="N183" t="s">
        <v>20</v>
      </c>
    </row>
    <row r="184" spans="1:14">
      <c r="A184" t="s">
        <v>212</v>
      </c>
      <c r="B184">
        <v>24</v>
      </c>
      <c r="C184" t="s">
        <v>15</v>
      </c>
      <c r="D184" t="s">
        <v>36</v>
      </c>
      <c r="E184" t="s">
        <v>33</v>
      </c>
      <c r="F184">
        <v>4</v>
      </c>
      <c r="G184">
        <v>1421541</v>
      </c>
      <c r="H184" t="s">
        <v>18</v>
      </c>
      <c r="I184">
        <v>6</v>
      </c>
      <c r="J184" t="s">
        <v>19</v>
      </c>
      <c r="K184">
        <v>59</v>
      </c>
      <c r="L184">
        <v>2</v>
      </c>
      <c r="M184" t="s">
        <v>19</v>
      </c>
      <c r="N184" t="s">
        <v>20</v>
      </c>
    </row>
    <row r="185" spans="1:14">
      <c r="A185" t="s">
        <v>213</v>
      </c>
      <c r="B185">
        <v>23</v>
      </c>
      <c r="C185" t="s">
        <v>15</v>
      </c>
      <c r="D185" t="s">
        <v>27</v>
      </c>
      <c r="E185" t="s">
        <v>17</v>
      </c>
      <c r="F185">
        <v>4</v>
      </c>
      <c r="G185">
        <v>772266</v>
      </c>
      <c r="H185" t="s">
        <v>28</v>
      </c>
      <c r="I185">
        <v>7</v>
      </c>
      <c r="J185" t="s">
        <v>20</v>
      </c>
      <c r="K185">
        <v>46</v>
      </c>
      <c r="L185">
        <v>5</v>
      </c>
      <c r="M185" t="s">
        <v>20</v>
      </c>
      <c r="N185" t="s">
        <v>20</v>
      </c>
    </row>
    <row r="186" spans="1:14">
      <c r="A186" t="s">
        <v>214</v>
      </c>
      <c r="B186">
        <v>37</v>
      </c>
      <c r="C186" t="s">
        <v>15</v>
      </c>
      <c r="D186" t="s">
        <v>36</v>
      </c>
      <c r="E186" t="s">
        <v>31</v>
      </c>
      <c r="F186">
        <v>12</v>
      </c>
      <c r="G186">
        <v>1582077</v>
      </c>
      <c r="H186" t="s">
        <v>18</v>
      </c>
      <c r="I186">
        <v>10</v>
      </c>
      <c r="J186" t="s">
        <v>19</v>
      </c>
      <c r="K186">
        <v>50</v>
      </c>
      <c r="L186">
        <v>3</v>
      </c>
      <c r="M186" t="s">
        <v>20</v>
      </c>
      <c r="N186" t="s">
        <v>20</v>
      </c>
    </row>
    <row r="187" spans="1:14">
      <c r="A187" t="s">
        <v>215</v>
      </c>
      <c r="B187">
        <v>27</v>
      </c>
      <c r="C187" t="s">
        <v>22</v>
      </c>
      <c r="D187" t="s">
        <v>36</v>
      </c>
      <c r="E187" t="s">
        <v>33</v>
      </c>
      <c r="F187">
        <v>12</v>
      </c>
      <c r="G187">
        <v>1655235</v>
      </c>
      <c r="H187" t="s">
        <v>34</v>
      </c>
      <c r="I187">
        <v>1</v>
      </c>
      <c r="J187" t="s">
        <v>20</v>
      </c>
      <c r="K187">
        <v>7</v>
      </c>
      <c r="L187">
        <v>5</v>
      </c>
      <c r="M187" t="s">
        <v>20</v>
      </c>
      <c r="N187" t="s">
        <v>20</v>
      </c>
    </row>
    <row r="188" spans="1:14">
      <c r="A188" t="s">
        <v>216</v>
      </c>
      <c r="B188">
        <v>51</v>
      </c>
      <c r="C188" t="s">
        <v>15</v>
      </c>
      <c r="D188" t="s">
        <v>36</v>
      </c>
      <c r="E188" t="s">
        <v>31</v>
      </c>
      <c r="F188">
        <v>18</v>
      </c>
      <c r="G188">
        <v>586110</v>
      </c>
      <c r="H188" t="s">
        <v>28</v>
      </c>
      <c r="I188">
        <v>9</v>
      </c>
      <c r="J188" t="s">
        <v>20</v>
      </c>
      <c r="K188">
        <v>59</v>
      </c>
      <c r="L188">
        <v>2</v>
      </c>
      <c r="M188" t="s">
        <v>19</v>
      </c>
      <c r="N188" t="s">
        <v>20</v>
      </c>
    </row>
    <row r="189" spans="1:14">
      <c r="A189" t="s">
        <v>217</v>
      </c>
      <c r="B189">
        <v>54</v>
      </c>
      <c r="C189" t="s">
        <v>22</v>
      </c>
      <c r="D189" t="s">
        <v>16</v>
      </c>
      <c r="E189" t="s">
        <v>31</v>
      </c>
      <c r="F189">
        <v>10</v>
      </c>
      <c r="G189">
        <v>926898</v>
      </c>
      <c r="H189" t="s">
        <v>18</v>
      </c>
      <c r="I189">
        <v>6</v>
      </c>
      <c r="J189" t="s">
        <v>19</v>
      </c>
      <c r="K189">
        <v>35</v>
      </c>
      <c r="L189">
        <v>2</v>
      </c>
      <c r="M189" t="s">
        <v>20</v>
      </c>
      <c r="N189" t="s">
        <v>20</v>
      </c>
    </row>
    <row r="190" spans="1:14">
      <c r="A190" t="s">
        <v>218</v>
      </c>
      <c r="B190">
        <v>38</v>
      </c>
      <c r="C190" t="s">
        <v>15</v>
      </c>
      <c r="D190" t="s">
        <v>27</v>
      </c>
      <c r="E190" t="s">
        <v>33</v>
      </c>
      <c r="F190">
        <v>10</v>
      </c>
      <c r="G190">
        <v>995747</v>
      </c>
      <c r="H190" t="s">
        <v>28</v>
      </c>
      <c r="I190">
        <v>5</v>
      </c>
      <c r="J190" t="s">
        <v>19</v>
      </c>
      <c r="K190">
        <v>10</v>
      </c>
      <c r="L190">
        <v>5</v>
      </c>
      <c r="M190" t="s">
        <v>20</v>
      </c>
      <c r="N190" t="s">
        <v>20</v>
      </c>
    </row>
    <row r="191" spans="1:14">
      <c r="A191" t="s">
        <v>219</v>
      </c>
      <c r="B191">
        <v>40</v>
      </c>
      <c r="C191" t="s">
        <v>15</v>
      </c>
      <c r="D191" t="s">
        <v>30</v>
      </c>
      <c r="E191" t="s">
        <v>23</v>
      </c>
      <c r="F191">
        <v>9</v>
      </c>
      <c r="G191">
        <v>1402134</v>
      </c>
      <c r="H191" t="s">
        <v>18</v>
      </c>
      <c r="I191">
        <v>2</v>
      </c>
      <c r="J191" t="s">
        <v>19</v>
      </c>
      <c r="K191">
        <v>43</v>
      </c>
      <c r="L191">
        <v>1</v>
      </c>
      <c r="M191" t="s">
        <v>20</v>
      </c>
      <c r="N191" t="s">
        <v>19</v>
      </c>
    </row>
    <row r="192" spans="1:14">
      <c r="A192" t="s">
        <v>220</v>
      </c>
      <c r="B192">
        <v>28</v>
      </c>
      <c r="C192" t="s">
        <v>15</v>
      </c>
      <c r="D192" t="s">
        <v>25</v>
      </c>
      <c r="E192" t="s">
        <v>17</v>
      </c>
      <c r="F192">
        <v>12</v>
      </c>
      <c r="G192">
        <v>1664105</v>
      </c>
      <c r="H192" t="s">
        <v>18</v>
      </c>
      <c r="I192">
        <v>10</v>
      </c>
      <c r="J192" t="s">
        <v>20</v>
      </c>
      <c r="K192">
        <v>28</v>
      </c>
      <c r="L192">
        <v>3</v>
      </c>
      <c r="M192" t="s">
        <v>20</v>
      </c>
      <c r="N192" t="s">
        <v>20</v>
      </c>
    </row>
    <row r="193" spans="1:14">
      <c r="A193" t="s">
        <v>221</v>
      </c>
      <c r="B193">
        <v>54</v>
      </c>
      <c r="C193" t="s">
        <v>15</v>
      </c>
      <c r="D193" t="s">
        <v>25</v>
      </c>
      <c r="E193" t="s">
        <v>31</v>
      </c>
      <c r="F193">
        <v>12</v>
      </c>
      <c r="G193">
        <v>518245</v>
      </c>
      <c r="H193" t="s">
        <v>34</v>
      </c>
      <c r="I193">
        <v>1</v>
      </c>
      <c r="J193" t="s">
        <v>20</v>
      </c>
      <c r="K193">
        <v>22</v>
      </c>
      <c r="L193">
        <v>2</v>
      </c>
      <c r="M193" t="s">
        <v>19</v>
      </c>
      <c r="N193" t="s">
        <v>20</v>
      </c>
    </row>
    <row r="194" spans="1:14">
      <c r="A194" t="s">
        <v>222</v>
      </c>
      <c r="B194">
        <v>26</v>
      </c>
      <c r="C194" t="s">
        <v>15</v>
      </c>
      <c r="D194" t="s">
        <v>27</v>
      </c>
      <c r="E194" t="s">
        <v>31</v>
      </c>
      <c r="F194">
        <v>14</v>
      </c>
      <c r="G194">
        <v>565128</v>
      </c>
      <c r="H194" t="s">
        <v>18</v>
      </c>
      <c r="I194">
        <v>5</v>
      </c>
      <c r="J194" t="s">
        <v>20</v>
      </c>
      <c r="K194">
        <v>29</v>
      </c>
      <c r="L194">
        <v>3</v>
      </c>
      <c r="M194" t="s">
        <v>20</v>
      </c>
      <c r="N194" t="s">
        <v>20</v>
      </c>
    </row>
    <row r="195" spans="1:14">
      <c r="A195" t="s">
        <v>223</v>
      </c>
      <c r="B195">
        <v>37</v>
      </c>
      <c r="C195" t="s">
        <v>15</v>
      </c>
      <c r="D195" t="s">
        <v>25</v>
      </c>
      <c r="E195" t="s">
        <v>33</v>
      </c>
      <c r="F195">
        <v>1</v>
      </c>
      <c r="G195">
        <v>1425235</v>
      </c>
      <c r="H195" t="s">
        <v>18</v>
      </c>
      <c r="I195">
        <v>2</v>
      </c>
      <c r="J195" t="s">
        <v>20</v>
      </c>
      <c r="K195">
        <v>19</v>
      </c>
      <c r="L195">
        <v>1</v>
      </c>
      <c r="M195" t="s">
        <v>20</v>
      </c>
      <c r="N195" t="s">
        <v>20</v>
      </c>
    </row>
    <row r="196" spans="1:14">
      <c r="A196" t="s">
        <v>224</v>
      </c>
      <c r="B196">
        <v>56</v>
      </c>
      <c r="C196" t="s">
        <v>22</v>
      </c>
      <c r="D196" t="s">
        <v>16</v>
      </c>
      <c r="E196" t="s">
        <v>23</v>
      </c>
      <c r="F196">
        <v>14</v>
      </c>
      <c r="G196">
        <v>534316</v>
      </c>
      <c r="H196" t="s">
        <v>34</v>
      </c>
      <c r="I196">
        <v>5</v>
      </c>
      <c r="J196" t="s">
        <v>19</v>
      </c>
      <c r="K196">
        <v>17</v>
      </c>
      <c r="L196">
        <v>2</v>
      </c>
      <c r="M196" t="s">
        <v>20</v>
      </c>
      <c r="N196" t="s">
        <v>20</v>
      </c>
    </row>
    <row r="197" spans="1:14">
      <c r="A197" t="s">
        <v>225</v>
      </c>
      <c r="B197">
        <v>46</v>
      </c>
      <c r="C197" t="s">
        <v>15</v>
      </c>
      <c r="D197" t="s">
        <v>27</v>
      </c>
      <c r="E197" t="s">
        <v>23</v>
      </c>
      <c r="F197">
        <v>9</v>
      </c>
      <c r="G197">
        <v>1528340</v>
      </c>
      <c r="H197" t="s">
        <v>18</v>
      </c>
      <c r="I197">
        <v>1</v>
      </c>
      <c r="J197" t="s">
        <v>19</v>
      </c>
      <c r="K197">
        <v>32</v>
      </c>
      <c r="L197">
        <v>1</v>
      </c>
      <c r="M197" t="s">
        <v>20</v>
      </c>
      <c r="N197" t="s">
        <v>19</v>
      </c>
    </row>
    <row r="198" spans="1:14">
      <c r="A198" t="s">
        <v>226</v>
      </c>
      <c r="B198">
        <v>27</v>
      </c>
      <c r="C198" t="s">
        <v>15</v>
      </c>
      <c r="D198" t="s">
        <v>25</v>
      </c>
      <c r="E198" t="s">
        <v>31</v>
      </c>
      <c r="F198">
        <v>13</v>
      </c>
      <c r="G198">
        <v>1561811</v>
      </c>
      <c r="H198" t="s">
        <v>28</v>
      </c>
      <c r="I198">
        <v>5</v>
      </c>
      <c r="J198" t="s">
        <v>20</v>
      </c>
      <c r="K198">
        <v>8</v>
      </c>
      <c r="L198">
        <v>4</v>
      </c>
      <c r="M198" t="s">
        <v>20</v>
      </c>
      <c r="N198" t="s">
        <v>20</v>
      </c>
    </row>
    <row r="199" spans="1:14">
      <c r="A199" t="s">
        <v>227</v>
      </c>
      <c r="B199">
        <v>43</v>
      </c>
      <c r="C199" t="s">
        <v>15</v>
      </c>
      <c r="D199" t="s">
        <v>36</v>
      </c>
      <c r="E199" t="s">
        <v>17</v>
      </c>
      <c r="F199">
        <v>11</v>
      </c>
      <c r="G199">
        <v>1448231</v>
      </c>
      <c r="H199" t="s">
        <v>28</v>
      </c>
      <c r="I199">
        <v>5</v>
      </c>
      <c r="J199" t="s">
        <v>19</v>
      </c>
      <c r="K199">
        <v>51</v>
      </c>
      <c r="L199">
        <v>1</v>
      </c>
      <c r="M199" t="s">
        <v>19</v>
      </c>
      <c r="N199" t="s">
        <v>20</v>
      </c>
    </row>
    <row r="200" spans="1:14">
      <c r="A200" t="s">
        <v>228</v>
      </c>
      <c r="B200">
        <v>41</v>
      </c>
      <c r="C200" t="s">
        <v>22</v>
      </c>
      <c r="D200" t="s">
        <v>27</v>
      </c>
      <c r="E200" t="s">
        <v>33</v>
      </c>
      <c r="F200">
        <v>12</v>
      </c>
      <c r="G200">
        <v>1253680</v>
      </c>
      <c r="H200" t="s">
        <v>28</v>
      </c>
      <c r="I200">
        <v>4</v>
      </c>
      <c r="J200" t="s">
        <v>19</v>
      </c>
      <c r="K200">
        <v>42</v>
      </c>
      <c r="L200">
        <v>5</v>
      </c>
      <c r="M200" t="s">
        <v>19</v>
      </c>
      <c r="N200" t="s">
        <v>19</v>
      </c>
    </row>
    <row r="201" spans="1:14">
      <c r="A201" t="s">
        <v>229</v>
      </c>
      <c r="B201">
        <v>60</v>
      </c>
      <c r="C201" t="s">
        <v>22</v>
      </c>
      <c r="D201" t="s">
        <v>25</v>
      </c>
      <c r="E201" t="s">
        <v>33</v>
      </c>
      <c r="F201">
        <v>6</v>
      </c>
      <c r="G201">
        <v>1240435</v>
      </c>
      <c r="H201" t="s">
        <v>18</v>
      </c>
      <c r="I201">
        <v>4</v>
      </c>
      <c r="J201" t="s">
        <v>20</v>
      </c>
      <c r="K201">
        <v>41</v>
      </c>
      <c r="L201">
        <v>2</v>
      </c>
      <c r="M201" t="s">
        <v>20</v>
      </c>
      <c r="N201" t="s">
        <v>20</v>
      </c>
    </row>
    <row r="202" spans="1:14">
      <c r="A202" t="s">
        <v>230</v>
      </c>
      <c r="B202">
        <v>27</v>
      </c>
      <c r="C202" t="s">
        <v>15</v>
      </c>
      <c r="D202" t="s">
        <v>30</v>
      </c>
      <c r="E202" t="s">
        <v>31</v>
      </c>
      <c r="F202">
        <v>18</v>
      </c>
      <c r="G202">
        <v>1460794</v>
      </c>
      <c r="H202" t="s">
        <v>34</v>
      </c>
      <c r="I202">
        <v>9</v>
      </c>
      <c r="J202" t="s">
        <v>20</v>
      </c>
      <c r="K202">
        <v>50</v>
      </c>
      <c r="L202">
        <v>2</v>
      </c>
      <c r="M202" t="s">
        <v>20</v>
      </c>
      <c r="N202" t="s">
        <v>20</v>
      </c>
    </row>
    <row r="203" spans="1:14">
      <c r="A203" t="s">
        <v>231</v>
      </c>
      <c r="B203">
        <v>53</v>
      </c>
      <c r="C203" t="s">
        <v>22</v>
      </c>
      <c r="D203" t="s">
        <v>16</v>
      </c>
      <c r="E203" t="s">
        <v>33</v>
      </c>
      <c r="F203">
        <v>11</v>
      </c>
      <c r="G203">
        <v>1518951</v>
      </c>
      <c r="H203" t="s">
        <v>28</v>
      </c>
      <c r="I203">
        <v>6</v>
      </c>
      <c r="J203" t="s">
        <v>20</v>
      </c>
      <c r="K203">
        <v>19</v>
      </c>
      <c r="L203">
        <v>5</v>
      </c>
      <c r="M203" t="s">
        <v>19</v>
      </c>
      <c r="N203" t="s">
        <v>20</v>
      </c>
    </row>
    <row r="204" spans="1:14">
      <c r="A204" t="s">
        <v>232</v>
      </c>
      <c r="B204">
        <v>32</v>
      </c>
      <c r="C204" t="s">
        <v>15</v>
      </c>
      <c r="D204" t="s">
        <v>30</v>
      </c>
      <c r="E204" t="s">
        <v>33</v>
      </c>
      <c r="F204">
        <v>0</v>
      </c>
      <c r="G204">
        <v>401877</v>
      </c>
      <c r="H204" t="s">
        <v>34</v>
      </c>
      <c r="I204">
        <v>7</v>
      </c>
      <c r="J204" t="s">
        <v>20</v>
      </c>
      <c r="K204">
        <v>49</v>
      </c>
      <c r="L204">
        <v>3</v>
      </c>
      <c r="M204" t="s">
        <v>20</v>
      </c>
      <c r="N204" t="s">
        <v>20</v>
      </c>
    </row>
    <row r="205" spans="1:14">
      <c r="A205" t="s">
        <v>233</v>
      </c>
      <c r="B205">
        <v>43</v>
      </c>
      <c r="C205" t="s">
        <v>22</v>
      </c>
      <c r="D205" t="s">
        <v>27</v>
      </c>
      <c r="E205" t="s">
        <v>17</v>
      </c>
      <c r="F205">
        <v>10</v>
      </c>
      <c r="G205">
        <v>947061</v>
      </c>
      <c r="H205" t="s">
        <v>18</v>
      </c>
      <c r="I205">
        <v>10</v>
      </c>
      <c r="J205" t="s">
        <v>20</v>
      </c>
      <c r="K205">
        <v>7</v>
      </c>
      <c r="L205">
        <v>1</v>
      </c>
      <c r="M205" t="s">
        <v>19</v>
      </c>
      <c r="N205" t="s">
        <v>20</v>
      </c>
    </row>
    <row r="206" spans="1:14">
      <c r="A206" t="s">
        <v>234</v>
      </c>
      <c r="B206">
        <v>42</v>
      </c>
      <c r="C206" t="s">
        <v>22</v>
      </c>
      <c r="D206" t="s">
        <v>25</v>
      </c>
      <c r="E206" t="s">
        <v>31</v>
      </c>
      <c r="F206">
        <v>9</v>
      </c>
      <c r="G206">
        <v>1055649</v>
      </c>
      <c r="H206" t="s">
        <v>34</v>
      </c>
      <c r="I206">
        <v>10</v>
      </c>
      <c r="J206" t="s">
        <v>20</v>
      </c>
      <c r="K206">
        <v>19</v>
      </c>
      <c r="L206">
        <v>1</v>
      </c>
      <c r="M206" t="s">
        <v>19</v>
      </c>
      <c r="N206" t="s">
        <v>20</v>
      </c>
    </row>
    <row r="207" spans="1:14">
      <c r="A207" t="s">
        <v>235</v>
      </c>
      <c r="B207">
        <v>44</v>
      </c>
      <c r="C207" t="s">
        <v>15</v>
      </c>
      <c r="D207" t="s">
        <v>36</v>
      </c>
      <c r="E207" t="s">
        <v>31</v>
      </c>
      <c r="F207">
        <v>9</v>
      </c>
      <c r="G207">
        <v>1647685</v>
      </c>
      <c r="H207" t="s">
        <v>28</v>
      </c>
      <c r="I207">
        <v>2</v>
      </c>
      <c r="J207" t="s">
        <v>20</v>
      </c>
      <c r="K207">
        <v>24</v>
      </c>
      <c r="L207">
        <v>5</v>
      </c>
      <c r="M207" t="s">
        <v>20</v>
      </c>
      <c r="N207" t="s">
        <v>20</v>
      </c>
    </row>
    <row r="208" spans="1:14">
      <c r="A208" t="s">
        <v>236</v>
      </c>
      <c r="B208">
        <v>27</v>
      </c>
      <c r="C208" t="s">
        <v>15</v>
      </c>
      <c r="D208" t="s">
        <v>16</v>
      </c>
      <c r="E208" t="s">
        <v>33</v>
      </c>
      <c r="F208">
        <v>17</v>
      </c>
      <c r="G208">
        <v>998860</v>
      </c>
      <c r="H208" t="s">
        <v>28</v>
      </c>
      <c r="I208">
        <v>8</v>
      </c>
      <c r="J208" t="s">
        <v>20</v>
      </c>
      <c r="K208">
        <v>5</v>
      </c>
      <c r="L208">
        <v>5</v>
      </c>
      <c r="M208" t="s">
        <v>20</v>
      </c>
      <c r="N208" t="s">
        <v>20</v>
      </c>
    </row>
    <row r="209" spans="1:14">
      <c r="A209" t="s">
        <v>237</v>
      </c>
      <c r="B209">
        <v>32</v>
      </c>
      <c r="C209" t="s">
        <v>22</v>
      </c>
      <c r="D209" t="s">
        <v>27</v>
      </c>
      <c r="E209" t="s">
        <v>23</v>
      </c>
      <c r="F209">
        <v>18</v>
      </c>
      <c r="G209">
        <v>340628</v>
      </c>
      <c r="H209" t="s">
        <v>18</v>
      </c>
      <c r="I209">
        <v>1</v>
      </c>
      <c r="J209" t="s">
        <v>19</v>
      </c>
      <c r="K209">
        <v>3</v>
      </c>
      <c r="L209">
        <v>5</v>
      </c>
      <c r="M209" t="s">
        <v>20</v>
      </c>
      <c r="N209" t="s">
        <v>19</v>
      </c>
    </row>
    <row r="210" spans="1:14">
      <c r="A210" t="s">
        <v>238</v>
      </c>
      <c r="B210">
        <v>56</v>
      </c>
      <c r="C210" t="s">
        <v>22</v>
      </c>
      <c r="D210" t="s">
        <v>27</v>
      </c>
      <c r="E210" t="s">
        <v>31</v>
      </c>
      <c r="F210">
        <v>10</v>
      </c>
      <c r="G210">
        <v>1284025</v>
      </c>
      <c r="H210" t="s">
        <v>18</v>
      </c>
      <c r="I210">
        <v>9</v>
      </c>
      <c r="J210" t="s">
        <v>20</v>
      </c>
      <c r="K210">
        <v>49</v>
      </c>
      <c r="L210">
        <v>5</v>
      </c>
      <c r="M210" t="s">
        <v>19</v>
      </c>
      <c r="N210" t="s">
        <v>20</v>
      </c>
    </row>
    <row r="211" spans="1:14">
      <c r="A211" t="s">
        <v>239</v>
      </c>
      <c r="B211">
        <v>27</v>
      </c>
      <c r="C211" t="s">
        <v>22</v>
      </c>
      <c r="D211" t="s">
        <v>30</v>
      </c>
      <c r="E211" t="s">
        <v>23</v>
      </c>
      <c r="F211">
        <v>18</v>
      </c>
      <c r="G211">
        <v>552327</v>
      </c>
      <c r="H211" t="s">
        <v>34</v>
      </c>
      <c r="I211">
        <v>5</v>
      </c>
      <c r="J211" t="s">
        <v>20</v>
      </c>
      <c r="K211">
        <v>35</v>
      </c>
      <c r="L211">
        <v>3</v>
      </c>
      <c r="M211" t="s">
        <v>20</v>
      </c>
      <c r="N211" t="s">
        <v>20</v>
      </c>
    </row>
    <row r="212" spans="1:14">
      <c r="A212" t="s">
        <v>240</v>
      </c>
      <c r="B212">
        <v>58</v>
      </c>
      <c r="C212" t="s">
        <v>15</v>
      </c>
      <c r="D212" t="s">
        <v>30</v>
      </c>
      <c r="E212" t="s">
        <v>31</v>
      </c>
      <c r="F212">
        <v>2</v>
      </c>
      <c r="G212">
        <v>944953</v>
      </c>
      <c r="H212" t="s">
        <v>18</v>
      </c>
      <c r="I212">
        <v>4</v>
      </c>
      <c r="J212" t="s">
        <v>20</v>
      </c>
      <c r="K212">
        <v>40</v>
      </c>
      <c r="L212">
        <v>4</v>
      </c>
      <c r="M212" t="s">
        <v>20</v>
      </c>
      <c r="N212" t="s">
        <v>20</v>
      </c>
    </row>
    <row r="213" spans="1:14">
      <c r="A213" t="s">
        <v>241</v>
      </c>
      <c r="B213">
        <v>30</v>
      </c>
      <c r="C213" t="s">
        <v>15</v>
      </c>
      <c r="D213" t="s">
        <v>36</v>
      </c>
      <c r="E213" t="s">
        <v>23</v>
      </c>
      <c r="F213">
        <v>10</v>
      </c>
      <c r="G213">
        <v>1791845</v>
      </c>
      <c r="H213" t="s">
        <v>28</v>
      </c>
      <c r="I213">
        <v>4</v>
      </c>
      <c r="J213" t="s">
        <v>20</v>
      </c>
      <c r="K213">
        <v>54</v>
      </c>
      <c r="L213">
        <v>3</v>
      </c>
      <c r="M213" t="s">
        <v>20</v>
      </c>
      <c r="N213" t="s">
        <v>20</v>
      </c>
    </row>
    <row r="214" spans="1:14">
      <c r="A214" t="s">
        <v>242</v>
      </c>
      <c r="B214">
        <v>22</v>
      </c>
      <c r="C214" t="s">
        <v>22</v>
      </c>
      <c r="D214" t="s">
        <v>30</v>
      </c>
      <c r="E214" t="s">
        <v>17</v>
      </c>
      <c r="F214">
        <v>16</v>
      </c>
      <c r="G214">
        <v>1584367</v>
      </c>
      <c r="H214" t="s">
        <v>18</v>
      </c>
      <c r="I214">
        <v>9</v>
      </c>
      <c r="J214" t="s">
        <v>20</v>
      </c>
      <c r="K214">
        <v>55</v>
      </c>
      <c r="L214">
        <v>3</v>
      </c>
      <c r="M214" t="s">
        <v>19</v>
      </c>
      <c r="N214" t="s">
        <v>20</v>
      </c>
    </row>
    <row r="215" spans="1:14">
      <c r="A215" t="s">
        <v>243</v>
      </c>
      <c r="B215">
        <v>28</v>
      </c>
      <c r="C215" t="s">
        <v>15</v>
      </c>
      <c r="D215" t="s">
        <v>27</v>
      </c>
      <c r="E215" t="s">
        <v>23</v>
      </c>
      <c r="F215">
        <v>19</v>
      </c>
      <c r="G215">
        <v>990415</v>
      </c>
      <c r="H215" t="s">
        <v>34</v>
      </c>
      <c r="I215">
        <v>8</v>
      </c>
      <c r="J215" t="s">
        <v>20</v>
      </c>
      <c r="K215">
        <v>22</v>
      </c>
      <c r="L215">
        <v>3</v>
      </c>
      <c r="M215" t="s">
        <v>19</v>
      </c>
      <c r="N215" t="s">
        <v>20</v>
      </c>
    </row>
    <row r="216" spans="1:14">
      <c r="A216" t="s">
        <v>244</v>
      </c>
      <c r="B216">
        <v>54</v>
      </c>
      <c r="C216" t="s">
        <v>22</v>
      </c>
      <c r="D216" t="s">
        <v>27</v>
      </c>
      <c r="E216" t="s">
        <v>17</v>
      </c>
      <c r="F216">
        <v>16</v>
      </c>
      <c r="G216">
        <v>404612</v>
      </c>
      <c r="H216" t="s">
        <v>28</v>
      </c>
      <c r="I216">
        <v>10</v>
      </c>
      <c r="J216" t="s">
        <v>19</v>
      </c>
      <c r="K216">
        <v>38</v>
      </c>
      <c r="L216">
        <v>3</v>
      </c>
      <c r="M216" t="s">
        <v>19</v>
      </c>
      <c r="N216" t="s">
        <v>20</v>
      </c>
    </row>
    <row r="217" spans="1:14">
      <c r="A217" t="s">
        <v>245</v>
      </c>
      <c r="B217">
        <v>31</v>
      </c>
      <c r="C217" t="s">
        <v>22</v>
      </c>
      <c r="D217" t="s">
        <v>25</v>
      </c>
      <c r="E217" t="s">
        <v>17</v>
      </c>
      <c r="F217">
        <v>14</v>
      </c>
      <c r="G217">
        <v>1769028</v>
      </c>
      <c r="H217" t="s">
        <v>34</v>
      </c>
      <c r="I217">
        <v>7</v>
      </c>
      <c r="J217" t="s">
        <v>20</v>
      </c>
      <c r="K217">
        <v>32</v>
      </c>
      <c r="L217">
        <v>5</v>
      </c>
      <c r="M217" t="s">
        <v>20</v>
      </c>
      <c r="N217" t="s">
        <v>20</v>
      </c>
    </row>
    <row r="218" spans="1:14">
      <c r="A218" t="s">
        <v>246</v>
      </c>
      <c r="B218">
        <v>43</v>
      </c>
      <c r="C218" t="s">
        <v>15</v>
      </c>
      <c r="D218" t="s">
        <v>30</v>
      </c>
      <c r="E218" t="s">
        <v>17</v>
      </c>
      <c r="F218">
        <v>20</v>
      </c>
      <c r="G218">
        <v>1218435</v>
      </c>
      <c r="H218" t="s">
        <v>28</v>
      </c>
      <c r="I218">
        <v>10</v>
      </c>
      <c r="J218" t="s">
        <v>20</v>
      </c>
      <c r="K218">
        <v>50</v>
      </c>
      <c r="L218">
        <v>1</v>
      </c>
      <c r="M218" t="s">
        <v>20</v>
      </c>
      <c r="N218" t="s">
        <v>20</v>
      </c>
    </row>
    <row r="219" spans="1:14">
      <c r="A219" t="s">
        <v>247</v>
      </c>
      <c r="B219">
        <v>55</v>
      </c>
      <c r="C219" t="s">
        <v>15</v>
      </c>
      <c r="D219" t="s">
        <v>36</v>
      </c>
      <c r="E219" t="s">
        <v>33</v>
      </c>
      <c r="F219">
        <v>6</v>
      </c>
      <c r="G219">
        <v>1691691</v>
      </c>
      <c r="H219" t="s">
        <v>18</v>
      </c>
      <c r="I219">
        <v>1</v>
      </c>
      <c r="J219" t="s">
        <v>19</v>
      </c>
      <c r="K219">
        <v>13</v>
      </c>
      <c r="L219">
        <v>2</v>
      </c>
      <c r="M219" t="s">
        <v>19</v>
      </c>
      <c r="N219" t="s">
        <v>19</v>
      </c>
    </row>
    <row r="220" spans="1:14">
      <c r="A220" t="s">
        <v>248</v>
      </c>
      <c r="B220">
        <v>57</v>
      </c>
      <c r="C220" t="s">
        <v>15</v>
      </c>
      <c r="D220" t="s">
        <v>30</v>
      </c>
      <c r="E220" t="s">
        <v>31</v>
      </c>
      <c r="F220">
        <v>5</v>
      </c>
      <c r="G220">
        <v>1461991</v>
      </c>
      <c r="H220" t="s">
        <v>28</v>
      </c>
      <c r="I220">
        <v>3</v>
      </c>
      <c r="J220" t="s">
        <v>20</v>
      </c>
      <c r="K220">
        <v>14</v>
      </c>
      <c r="L220">
        <v>5</v>
      </c>
      <c r="M220" t="s">
        <v>20</v>
      </c>
      <c r="N220" t="s">
        <v>20</v>
      </c>
    </row>
    <row r="221" spans="1:14">
      <c r="A221" t="s">
        <v>249</v>
      </c>
      <c r="B221">
        <v>59</v>
      </c>
      <c r="C221" t="s">
        <v>22</v>
      </c>
      <c r="D221" t="s">
        <v>27</v>
      </c>
      <c r="E221" t="s">
        <v>31</v>
      </c>
      <c r="F221">
        <v>5</v>
      </c>
      <c r="G221">
        <v>482151</v>
      </c>
      <c r="H221" t="s">
        <v>34</v>
      </c>
      <c r="I221">
        <v>6</v>
      </c>
      <c r="J221" t="s">
        <v>20</v>
      </c>
      <c r="K221">
        <v>27</v>
      </c>
      <c r="L221">
        <v>2</v>
      </c>
      <c r="M221" t="s">
        <v>19</v>
      </c>
      <c r="N221" t="s">
        <v>20</v>
      </c>
    </row>
    <row r="222" spans="1:14">
      <c r="A222" t="s">
        <v>250</v>
      </c>
      <c r="B222">
        <v>58</v>
      </c>
      <c r="C222" t="s">
        <v>22</v>
      </c>
      <c r="D222" t="s">
        <v>16</v>
      </c>
      <c r="E222" t="s">
        <v>23</v>
      </c>
      <c r="F222">
        <v>9</v>
      </c>
      <c r="G222">
        <v>359925</v>
      </c>
      <c r="H222" t="s">
        <v>34</v>
      </c>
      <c r="I222">
        <v>5</v>
      </c>
      <c r="J222" t="s">
        <v>20</v>
      </c>
      <c r="K222">
        <v>50</v>
      </c>
      <c r="L222">
        <v>4</v>
      </c>
      <c r="M222" t="s">
        <v>19</v>
      </c>
      <c r="N222" t="s">
        <v>19</v>
      </c>
    </row>
    <row r="223" spans="1:14">
      <c r="A223" t="s">
        <v>251</v>
      </c>
      <c r="B223">
        <v>32</v>
      </c>
      <c r="C223" t="s">
        <v>22</v>
      </c>
      <c r="D223" t="s">
        <v>27</v>
      </c>
      <c r="E223" t="s">
        <v>17</v>
      </c>
      <c r="F223">
        <v>16</v>
      </c>
      <c r="G223">
        <v>1717812</v>
      </c>
      <c r="H223" t="s">
        <v>18</v>
      </c>
      <c r="I223">
        <v>10</v>
      </c>
      <c r="J223" t="s">
        <v>20</v>
      </c>
      <c r="K223">
        <v>53</v>
      </c>
      <c r="L223">
        <v>3</v>
      </c>
      <c r="M223" t="s">
        <v>19</v>
      </c>
      <c r="N223" t="s">
        <v>20</v>
      </c>
    </row>
    <row r="224" spans="1:14">
      <c r="A224" t="s">
        <v>252</v>
      </c>
      <c r="B224">
        <v>40</v>
      </c>
      <c r="C224" t="s">
        <v>15</v>
      </c>
      <c r="D224" t="s">
        <v>36</v>
      </c>
      <c r="E224" t="s">
        <v>17</v>
      </c>
      <c r="F224">
        <v>11</v>
      </c>
      <c r="G224">
        <v>1222298</v>
      </c>
      <c r="H224" t="s">
        <v>34</v>
      </c>
      <c r="I224">
        <v>6</v>
      </c>
      <c r="J224" t="s">
        <v>20</v>
      </c>
      <c r="K224">
        <v>56</v>
      </c>
      <c r="L224">
        <v>3</v>
      </c>
      <c r="M224" t="s">
        <v>19</v>
      </c>
      <c r="N224" t="s">
        <v>20</v>
      </c>
    </row>
    <row r="225" spans="1:14">
      <c r="A225" t="s">
        <v>253</v>
      </c>
      <c r="B225">
        <v>24</v>
      </c>
      <c r="C225" t="s">
        <v>22</v>
      </c>
      <c r="D225" t="s">
        <v>30</v>
      </c>
      <c r="E225" t="s">
        <v>23</v>
      </c>
      <c r="F225">
        <v>11</v>
      </c>
      <c r="G225">
        <v>902708</v>
      </c>
      <c r="H225" t="s">
        <v>18</v>
      </c>
      <c r="I225">
        <v>7</v>
      </c>
      <c r="J225" t="s">
        <v>20</v>
      </c>
      <c r="K225">
        <v>32</v>
      </c>
      <c r="L225">
        <v>4</v>
      </c>
      <c r="M225" t="s">
        <v>19</v>
      </c>
      <c r="N225" t="s">
        <v>20</v>
      </c>
    </row>
    <row r="226" spans="1:14">
      <c r="A226" t="s">
        <v>254</v>
      </c>
      <c r="B226">
        <v>52</v>
      </c>
      <c r="C226" t="s">
        <v>15</v>
      </c>
      <c r="D226" t="s">
        <v>30</v>
      </c>
      <c r="E226" t="s">
        <v>33</v>
      </c>
      <c r="F226">
        <v>12</v>
      </c>
      <c r="G226">
        <v>1499198</v>
      </c>
      <c r="H226" t="s">
        <v>18</v>
      </c>
      <c r="I226">
        <v>6</v>
      </c>
      <c r="J226" t="s">
        <v>19</v>
      </c>
      <c r="K226">
        <v>15</v>
      </c>
      <c r="L226">
        <v>1</v>
      </c>
      <c r="M226" t="s">
        <v>20</v>
      </c>
      <c r="N226" t="s">
        <v>20</v>
      </c>
    </row>
    <row r="227" spans="1:14">
      <c r="A227" t="s">
        <v>255</v>
      </c>
      <c r="B227">
        <v>34</v>
      </c>
      <c r="C227" t="s">
        <v>22</v>
      </c>
      <c r="D227" t="s">
        <v>36</v>
      </c>
      <c r="E227" t="s">
        <v>31</v>
      </c>
      <c r="F227">
        <v>18</v>
      </c>
      <c r="G227">
        <v>1216636</v>
      </c>
      <c r="H227" t="s">
        <v>28</v>
      </c>
      <c r="I227">
        <v>8</v>
      </c>
      <c r="J227" t="s">
        <v>20</v>
      </c>
      <c r="K227">
        <v>12</v>
      </c>
      <c r="L227">
        <v>1</v>
      </c>
      <c r="M227" t="s">
        <v>20</v>
      </c>
      <c r="N227" t="s">
        <v>20</v>
      </c>
    </row>
    <row r="228" spans="1:14">
      <c r="A228" t="s">
        <v>256</v>
      </c>
      <c r="B228">
        <v>56</v>
      </c>
      <c r="C228" t="s">
        <v>15</v>
      </c>
      <c r="D228" t="s">
        <v>30</v>
      </c>
      <c r="E228" t="s">
        <v>31</v>
      </c>
      <c r="F228">
        <v>0</v>
      </c>
      <c r="G228">
        <v>654973</v>
      </c>
      <c r="H228" t="s">
        <v>34</v>
      </c>
      <c r="I228">
        <v>3</v>
      </c>
      <c r="J228" t="s">
        <v>20</v>
      </c>
      <c r="K228">
        <v>23</v>
      </c>
      <c r="L228">
        <v>4</v>
      </c>
      <c r="M228" t="s">
        <v>20</v>
      </c>
      <c r="N228" t="s">
        <v>20</v>
      </c>
    </row>
    <row r="229" spans="1:14">
      <c r="A229" t="s">
        <v>257</v>
      </c>
      <c r="B229">
        <v>45</v>
      </c>
      <c r="C229" t="s">
        <v>15</v>
      </c>
      <c r="D229" t="s">
        <v>25</v>
      </c>
      <c r="E229" t="s">
        <v>33</v>
      </c>
      <c r="F229">
        <v>8</v>
      </c>
      <c r="G229">
        <v>1439232</v>
      </c>
      <c r="H229" t="s">
        <v>18</v>
      </c>
      <c r="I229">
        <v>3</v>
      </c>
      <c r="J229" t="s">
        <v>19</v>
      </c>
      <c r="K229">
        <v>42</v>
      </c>
      <c r="L229">
        <v>3</v>
      </c>
      <c r="M229" t="s">
        <v>20</v>
      </c>
      <c r="N229" t="s">
        <v>19</v>
      </c>
    </row>
    <row r="230" spans="1:14">
      <c r="A230" t="s">
        <v>258</v>
      </c>
      <c r="B230">
        <v>31</v>
      </c>
      <c r="C230" t="s">
        <v>15</v>
      </c>
      <c r="D230" t="s">
        <v>16</v>
      </c>
      <c r="E230" t="s">
        <v>33</v>
      </c>
      <c r="F230">
        <v>18</v>
      </c>
      <c r="G230">
        <v>1061768</v>
      </c>
      <c r="H230" t="s">
        <v>34</v>
      </c>
      <c r="I230">
        <v>7</v>
      </c>
      <c r="J230" t="s">
        <v>19</v>
      </c>
      <c r="K230">
        <v>38</v>
      </c>
      <c r="L230">
        <v>3</v>
      </c>
      <c r="M230" t="s">
        <v>20</v>
      </c>
      <c r="N230" t="s">
        <v>20</v>
      </c>
    </row>
    <row r="231" spans="1:14">
      <c r="A231" t="s">
        <v>259</v>
      </c>
      <c r="B231">
        <v>31</v>
      </c>
      <c r="C231" t="s">
        <v>22</v>
      </c>
      <c r="D231" t="s">
        <v>27</v>
      </c>
      <c r="E231" t="s">
        <v>17</v>
      </c>
      <c r="F231">
        <v>10</v>
      </c>
      <c r="G231">
        <v>1699309</v>
      </c>
      <c r="H231" t="s">
        <v>18</v>
      </c>
      <c r="I231">
        <v>1</v>
      </c>
      <c r="J231" t="s">
        <v>19</v>
      </c>
      <c r="K231">
        <v>60</v>
      </c>
      <c r="L231">
        <v>4</v>
      </c>
      <c r="M231" t="s">
        <v>20</v>
      </c>
      <c r="N231" t="s">
        <v>19</v>
      </c>
    </row>
    <row r="232" spans="1:14">
      <c r="A232" t="s">
        <v>260</v>
      </c>
      <c r="B232">
        <v>32</v>
      </c>
      <c r="C232" t="s">
        <v>22</v>
      </c>
      <c r="D232" t="s">
        <v>25</v>
      </c>
      <c r="E232" t="s">
        <v>33</v>
      </c>
      <c r="F232">
        <v>14</v>
      </c>
      <c r="G232">
        <v>251166</v>
      </c>
      <c r="H232" t="s">
        <v>34</v>
      </c>
      <c r="I232">
        <v>2</v>
      </c>
      <c r="J232" t="s">
        <v>20</v>
      </c>
      <c r="K232">
        <v>13</v>
      </c>
      <c r="L232">
        <v>4</v>
      </c>
      <c r="M232" t="s">
        <v>20</v>
      </c>
      <c r="N232" t="s">
        <v>19</v>
      </c>
    </row>
    <row r="233" spans="1:14">
      <c r="A233" t="s">
        <v>261</v>
      </c>
      <c r="B233">
        <v>29</v>
      </c>
      <c r="C233" t="s">
        <v>22</v>
      </c>
      <c r="D233" t="s">
        <v>36</v>
      </c>
      <c r="E233" t="s">
        <v>33</v>
      </c>
      <c r="F233">
        <v>17</v>
      </c>
      <c r="G233">
        <v>1350462</v>
      </c>
      <c r="H233" t="s">
        <v>28</v>
      </c>
      <c r="I233">
        <v>5</v>
      </c>
      <c r="J233" t="s">
        <v>20</v>
      </c>
      <c r="K233">
        <v>20</v>
      </c>
      <c r="L233">
        <v>3</v>
      </c>
      <c r="M233" t="s">
        <v>20</v>
      </c>
      <c r="N233" t="s">
        <v>20</v>
      </c>
    </row>
    <row r="234" spans="1:14">
      <c r="A234" t="s">
        <v>262</v>
      </c>
      <c r="B234">
        <v>25</v>
      </c>
      <c r="C234" t="s">
        <v>15</v>
      </c>
      <c r="D234" t="s">
        <v>25</v>
      </c>
      <c r="E234" t="s">
        <v>31</v>
      </c>
      <c r="F234">
        <v>20</v>
      </c>
      <c r="G234">
        <v>1705329</v>
      </c>
      <c r="H234" t="s">
        <v>34</v>
      </c>
      <c r="I234">
        <v>2</v>
      </c>
      <c r="J234" t="s">
        <v>19</v>
      </c>
      <c r="K234">
        <v>44</v>
      </c>
      <c r="L234">
        <v>4</v>
      </c>
      <c r="M234" t="s">
        <v>20</v>
      </c>
      <c r="N234" t="s">
        <v>19</v>
      </c>
    </row>
    <row r="235" spans="1:14">
      <c r="A235" t="s">
        <v>263</v>
      </c>
      <c r="B235">
        <v>23</v>
      </c>
      <c r="C235" t="s">
        <v>15</v>
      </c>
      <c r="D235" t="s">
        <v>30</v>
      </c>
      <c r="E235" t="s">
        <v>23</v>
      </c>
      <c r="F235">
        <v>11</v>
      </c>
      <c r="G235">
        <v>765686</v>
      </c>
      <c r="H235" t="s">
        <v>28</v>
      </c>
      <c r="I235">
        <v>9</v>
      </c>
      <c r="J235" t="s">
        <v>20</v>
      </c>
      <c r="K235">
        <v>4</v>
      </c>
      <c r="L235">
        <v>1</v>
      </c>
      <c r="M235" t="s">
        <v>19</v>
      </c>
      <c r="N235" t="s">
        <v>20</v>
      </c>
    </row>
    <row r="236" spans="1:14">
      <c r="A236" t="s">
        <v>264</v>
      </c>
      <c r="B236">
        <v>35</v>
      </c>
      <c r="C236" t="s">
        <v>22</v>
      </c>
      <c r="D236" t="s">
        <v>36</v>
      </c>
      <c r="E236" t="s">
        <v>23</v>
      </c>
      <c r="F236">
        <v>4</v>
      </c>
      <c r="G236">
        <v>534501</v>
      </c>
      <c r="H236" t="s">
        <v>34</v>
      </c>
      <c r="I236">
        <v>3</v>
      </c>
      <c r="J236" t="s">
        <v>20</v>
      </c>
      <c r="K236">
        <v>58</v>
      </c>
      <c r="L236">
        <v>4</v>
      </c>
      <c r="M236" t="s">
        <v>20</v>
      </c>
      <c r="N236" t="s">
        <v>20</v>
      </c>
    </row>
    <row r="237" spans="1:14">
      <c r="A237" t="s">
        <v>265</v>
      </c>
      <c r="B237">
        <v>47</v>
      </c>
      <c r="C237" t="s">
        <v>22</v>
      </c>
      <c r="D237" t="s">
        <v>30</v>
      </c>
      <c r="E237" t="s">
        <v>33</v>
      </c>
      <c r="F237">
        <v>5</v>
      </c>
      <c r="G237">
        <v>1660020</v>
      </c>
      <c r="H237" t="s">
        <v>18</v>
      </c>
      <c r="I237">
        <v>2</v>
      </c>
      <c r="J237" t="s">
        <v>20</v>
      </c>
      <c r="K237">
        <v>24</v>
      </c>
      <c r="L237">
        <v>5</v>
      </c>
      <c r="M237" t="s">
        <v>20</v>
      </c>
      <c r="N237" t="s">
        <v>20</v>
      </c>
    </row>
    <row r="238" spans="1:14">
      <c r="A238" t="s">
        <v>266</v>
      </c>
      <c r="B238">
        <v>51</v>
      </c>
      <c r="C238" t="s">
        <v>15</v>
      </c>
      <c r="D238" t="s">
        <v>36</v>
      </c>
      <c r="E238" t="s">
        <v>31</v>
      </c>
      <c r="F238">
        <v>20</v>
      </c>
      <c r="G238">
        <v>1427469</v>
      </c>
      <c r="H238" t="s">
        <v>18</v>
      </c>
      <c r="I238">
        <v>8</v>
      </c>
      <c r="J238" t="s">
        <v>20</v>
      </c>
      <c r="K238">
        <v>45</v>
      </c>
      <c r="L238">
        <v>1</v>
      </c>
      <c r="M238" t="s">
        <v>20</v>
      </c>
      <c r="N238" t="s">
        <v>20</v>
      </c>
    </row>
    <row r="239" spans="1:14">
      <c r="A239" t="s">
        <v>267</v>
      </c>
      <c r="B239">
        <v>29</v>
      </c>
      <c r="C239" t="s">
        <v>22</v>
      </c>
      <c r="D239" t="s">
        <v>27</v>
      </c>
      <c r="E239" t="s">
        <v>23</v>
      </c>
      <c r="F239">
        <v>10</v>
      </c>
      <c r="G239">
        <v>291387</v>
      </c>
      <c r="H239" t="s">
        <v>34</v>
      </c>
      <c r="I239">
        <v>8</v>
      </c>
      <c r="J239" t="s">
        <v>20</v>
      </c>
      <c r="K239">
        <v>44</v>
      </c>
      <c r="L239">
        <v>4</v>
      </c>
      <c r="M239" t="s">
        <v>20</v>
      </c>
      <c r="N239" t="s">
        <v>20</v>
      </c>
    </row>
    <row r="240" spans="1:14">
      <c r="A240" t="s">
        <v>268</v>
      </c>
      <c r="B240">
        <v>53</v>
      </c>
      <c r="C240" t="s">
        <v>22</v>
      </c>
      <c r="D240" t="s">
        <v>36</v>
      </c>
      <c r="E240" t="s">
        <v>23</v>
      </c>
      <c r="F240">
        <v>20</v>
      </c>
      <c r="G240">
        <v>527657</v>
      </c>
      <c r="H240" t="s">
        <v>18</v>
      </c>
      <c r="I240">
        <v>4</v>
      </c>
      <c r="J240" t="s">
        <v>19</v>
      </c>
      <c r="K240">
        <v>45</v>
      </c>
      <c r="L240">
        <v>4</v>
      </c>
      <c r="M240" t="s">
        <v>19</v>
      </c>
      <c r="N240" t="s">
        <v>19</v>
      </c>
    </row>
    <row r="241" spans="1:14">
      <c r="A241" t="s">
        <v>269</v>
      </c>
      <c r="B241">
        <v>40</v>
      </c>
      <c r="C241" t="s">
        <v>22</v>
      </c>
      <c r="D241" t="s">
        <v>27</v>
      </c>
      <c r="E241" t="s">
        <v>33</v>
      </c>
      <c r="F241">
        <v>1</v>
      </c>
      <c r="G241">
        <v>796944</v>
      </c>
      <c r="H241" t="s">
        <v>18</v>
      </c>
      <c r="I241">
        <v>10</v>
      </c>
      <c r="J241" t="s">
        <v>19</v>
      </c>
      <c r="K241">
        <v>48</v>
      </c>
      <c r="L241">
        <v>3</v>
      </c>
      <c r="M241" t="s">
        <v>20</v>
      </c>
      <c r="N241" t="s">
        <v>19</v>
      </c>
    </row>
    <row r="242" spans="1:14">
      <c r="A242" t="s">
        <v>270</v>
      </c>
      <c r="B242">
        <v>32</v>
      </c>
      <c r="C242" t="s">
        <v>22</v>
      </c>
      <c r="D242" t="s">
        <v>30</v>
      </c>
      <c r="E242" t="s">
        <v>17</v>
      </c>
      <c r="F242">
        <v>15</v>
      </c>
      <c r="G242">
        <v>539930</v>
      </c>
      <c r="H242" t="s">
        <v>18</v>
      </c>
      <c r="I242">
        <v>7</v>
      </c>
      <c r="J242" t="s">
        <v>20</v>
      </c>
      <c r="K242">
        <v>2</v>
      </c>
      <c r="L242">
        <v>4</v>
      </c>
      <c r="M242" t="s">
        <v>19</v>
      </c>
      <c r="N242" t="s">
        <v>20</v>
      </c>
    </row>
    <row r="243" spans="1:14">
      <c r="A243" t="s">
        <v>271</v>
      </c>
      <c r="B243">
        <v>29</v>
      </c>
      <c r="C243" t="s">
        <v>15</v>
      </c>
      <c r="D243" t="s">
        <v>30</v>
      </c>
      <c r="E243" t="s">
        <v>17</v>
      </c>
      <c r="F243">
        <v>4</v>
      </c>
      <c r="G243">
        <v>1091535</v>
      </c>
      <c r="H243" t="s">
        <v>18</v>
      </c>
      <c r="I243">
        <v>6</v>
      </c>
      <c r="J243" t="s">
        <v>19</v>
      </c>
      <c r="K243">
        <v>9</v>
      </c>
      <c r="L243">
        <v>5</v>
      </c>
      <c r="M243" t="s">
        <v>20</v>
      </c>
      <c r="N243" t="s">
        <v>20</v>
      </c>
    </row>
    <row r="244" spans="1:14">
      <c r="A244" t="s">
        <v>272</v>
      </c>
      <c r="B244">
        <v>35</v>
      </c>
      <c r="C244" t="s">
        <v>22</v>
      </c>
      <c r="D244" t="s">
        <v>36</v>
      </c>
      <c r="E244" t="s">
        <v>23</v>
      </c>
      <c r="F244">
        <v>19</v>
      </c>
      <c r="G244">
        <v>1752323</v>
      </c>
      <c r="H244" t="s">
        <v>28</v>
      </c>
      <c r="I244">
        <v>6</v>
      </c>
      <c r="J244" t="s">
        <v>19</v>
      </c>
      <c r="K244">
        <v>9</v>
      </c>
      <c r="L244">
        <v>4</v>
      </c>
      <c r="M244" t="s">
        <v>19</v>
      </c>
      <c r="N244" t="s">
        <v>20</v>
      </c>
    </row>
    <row r="245" spans="1:14">
      <c r="A245" t="s">
        <v>273</v>
      </c>
      <c r="B245">
        <v>60</v>
      </c>
      <c r="C245" t="s">
        <v>22</v>
      </c>
      <c r="D245" t="s">
        <v>25</v>
      </c>
      <c r="E245" t="s">
        <v>33</v>
      </c>
      <c r="F245">
        <v>7</v>
      </c>
      <c r="G245">
        <v>1662463</v>
      </c>
      <c r="H245" t="s">
        <v>28</v>
      </c>
      <c r="I245">
        <v>5</v>
      </c>
      <c r="J245" t="s">
        <v>20</v>
      </c>
      <c r="K245">
        <v>37</v>
      </c>
      <c r="L245">
        <v>5</v>
      </c>
      <c r="M245" t="s">
        <v>19</v>
      </c>
      <c r="N245" t="s">
        <v>20</v>
      </c>
    </row>
    <row r="246" spans="1:14">
      <c r="A246" t="s">
        <v>274</v>
      </c>
      <c r="B246">
        <v>35</v>
      </c>
      <c r="C246" t="s">
        <v>22</v>
      </c>
      <c r="D246" t="s">
        <v>36</v>
      </c>
      <c r="E246" t="s">
        <v>17</v>
      </c>
      <c r="F246">
        <v>12</v>
      </c>
      <c r="G246">
        <v>655490</v>
      </c>
      <c r="H246" t="s">
        <v>34</v>
      </c>
      <c r="I246">
        <v>6</v>
      </c>
      <c r="J246" t="s">
        <v>20</v>
      </c>
      <c r="K246">
        <v>32</v>
      </c>
      <c r="L246">
        <v>1</v>
      </c>
      <c r="M246" t="s">
        <v>20</v>
      </c>
      <c r="N246" t="s">
        <v>20</v>
      </c>
    </row>
    <row r="247" spans="1:14">
      <c r="A247" t="s">
        <v>275</v>
      </c>
      <c r="B247">
        <v>21</v>
      </c>
      <c r="C247" t="s">
        <v>22</v>
      </c>
      <c r="D247" t="s">
        <v>30</v>
      </c>
      <c r="E247" t="s">
        <v>23</v>
      </c>
      <c r="F247">
        <v>10</v>
      </c>
      <c r="G247">
        <v>1667238</v>
      </c>
      <c r="H247" t="s">
        <v>28</v>
      </c>
      <c r="I247">
        <v>6</v>
      </c>
      <c r="J247" t="s">
        <v>20</v>
      </c>
      <c r="K247">
        <v>7</v>
      </c>
      <c r="L247">
        <v>3</v>
      </c>
      <c r="M247" t="s">
        <v>20</v>
      </c>
      <c r="N247" t="s">
        <v>20</v>
      </c>
    </row>
    <row r="248" spans="1:14">
      <c r="A248" t="s">
        <v>276</v>
      </c>
      <c r="B248">
        <v>44</v>
      </c>
      <c r="C248" t="s">
        <v>15</v>
      </c>
      <c r="D248" t="s">
        <v>16</v>
      </c>
      <c r="E248" t="s">
        <v>17</v>
      </c>
      <c r="F248">
        <v>4</v>
      </c>
      <c r="G248">
        <v>617545</v>
      </c>
      <c r="H248" t="s">
        <v>34</v>
      </c>
      <c r="I248">
        <v>9</v>
      </c>
      <c r="J248" t="s">
        <v>19</v>
      </c>
      <c r="K248">
        <v>6</v>
      </c>
      <c r="L248">
        <v>1</v>
      </c>
      <c r="M248" t="s">
        <v>19</v>
      </c>
      <c r="N248" t="s">
        <v>20</v>
      </c>
    </row>
    <row r="249" spans="1:14">
      <c r="A249" t="s">
        <v>277</v>
      </c>
      <c r="B249">
        <v>38</v>
      </c>
      <c r="C249" t="s">
        <v>15</v>
      </c>
      <c r="D249" t="s">
        <v>25</v>
      </c>
      <c r="E249" t="s">
        <v>23</v>
      </c>
      <c r="F249">
        <v>10</v>
      </c>
      <c r="G249">
        <v>475579</v>
      </c>
      <c r="H249" t="s">
        <v>28</v>
      </c>
      <c r="I249">
        <v>3</v>
      </c>
      <c r="J249" t="s">
        <v>19</v>
      </c>
      <c r="K249">
        <v>14</v>
      </c>
      <c r="L249">
        <v>5</v>
      </c>
      <c r="M249" t="s">
        <v>20</v>
      </c>
      <c r="N249" t="s">
        <v>19</v>
      </c>
    </row>
    <row r="250" spans="1:14">
      <c r="A250" t="s">
        <v>278</v>
      </c>
      <c r="B250">
        <v>29</v>
      </c>
      <c r="C250" t="s">
        <v>15</v>
      </c>
      <c r="D250" t="s">
        <v>36</v>
      </c>
      <c r="E250" t="s">
        <v>31</v>
      </c>
      <c r="F250">
        <v>13</v>
      </c>
      <c r="G250">
        <v>1598861</v>
      </c>
      <c r="H250" t="s">
        <v>34</v>
      </c>
      <c r="I250">
        <v>6</v>
      </c>
      <c r="J250" t="s">
        <v>20</v>
      </c>
      <c r="K250">
        <v>33</v>
      </c>
      <c r="L250">
        <v>4</v>
      </c>
      <c r="M250" t="s">
        <v>20</v>
      </c>
      <c r="N250" t="s">
        <v>20</v>
      </c>
    </row>
    <row r="251" spans="1:14">
      <c r="A251" t="s">
        <v>279</v>
      </c>
      <c r="B251">
        <v>24</v>
      </c>
      <c r="C251" t="s">
        <v>22</v>
      </c>
      <c r="D251" t="s">
        <v>25</v>
      </c>
      <c r="E251" t="s">
        <v>17</v>
      </c>
      <c r="F251">
        <v>19</v>
      </c>
      <c r="G251">
        <v>1472452</v>
      </c>
      <c r="H251" t="s">
        <v>18</v>
      </c>
      <c r="I251">
        <v>1</v>
      </c>
      <c r="J251" t="s">
        <v>20</v>
      </c>
      <c r="K251">
        <v>12</v>
      </c>
      <c r="L251">
        <v>1</v>
      </c>
      <c r="M251" t="s">
        <v>20</v>
      </c>
      <c r="N251" t="s">
        <v>20</v>
      </c>
    </row>
    <row r="252" spans="1:14">
      <c r="A252" t="s">
        <v>280</v>
      </c>
      <c r="B252">
        <v>57</v>
      </c>
      <c r="C252" t="s">
        <v>22</v>
      </c>
      <c r="D252" t="s">
        <v>27</v>
      </c>
      <c r="E252" t="s">
        <v>17</v>
      </c>
      <c r="F252">
        <v>4</v>
      </c>
      <c r="G252">
        <v>587645</v>
      </c>
      <c r="H252" t="s">
        <v>18</v>
      </c>
      <c r="I252">
        <v>10</v>
      </c>
      <c r="J252" t="s">
        <v>20</v>
      </c>
      <c r="K252">
        <v>32</v>
      </c>
      <c r="L252">
        <v>1</v>
      </c>
      <c r="M252" t="s">
        <v>20</v>
      </c>
      <c r="N252" t="s">
        <v>20</v>
      </c>
    </row>
    <row r="253" spans="1:14">
      <c r="A253" t="s">
        <v>281</v>
      </c>
      <c r="B253">
        <v>30</v>
      </c>
      <c r="C253" t="s">
        <v>22</v>
      </c>
      <c r="D253" t="s">
        <v>16</v>
      </c>
      <c r="E253" t="s">
        <v>33</v>
      </c>
      <c r="F253">
        <v>14</v>
      </c>
      <c r="G253">
        <v>685014</v>
      </c>
      <c r="H253" t="s">
        <v>28</v>
      </c>
      <c r="I253">
        <v>9</v>
      </c>
      <c r="J253" t="s">
        <v>19</v>
      </c>
      <c r="K253">
        <v>5</v>
      </c>
      <c r="L253">
        <v>4</v>
      </c>
      <c r="M253" t="s">
        <v>19</v>
      </c>
      <c r="N253" t="s">
        <v>20</v>
      </c>
    </row>
    <row r="254" spans="1:14">
      <c r="A254" t="s">
        <v>282</v>
      </c>
      <c r="B254">
        <v>45</v>
      </c>
      <c r="C254" t="s">
        <v>15</v>
      </c>
      <c r="D254" t="s">
        <v>25</v>
      </c>
      <c r="E254" t="s">
        <v>17</v>
      </c>
      <c r="F254">
        <v>8</v>
      </c>
      <c r="G254">
        <v>1481051</v>
      </c>
      <c r="H254" t="s">
        <v>28</v>
      </c>
      <c r="I254">
        <v>10</v>
      </c>
      <c r="J254" t="s">
        <v>19</v>
      </c>
      <c r="K254">
        <v>16</v>
      </c>
      <c r="L254">
        <v>3</v>
      </c>
      <c r="M254" t="s">
        <v>19</v>
      </c>
      <c r="N254" t="s">
        <v>20</v>
      </c>
    </row>
    <row r="255" spans="1:14">
      <c r="A255" t="s">
        <v>283</v>
      </c>
      <c r="B255">
        <v>29</v>
      </c>
      <c r="C255" t="s">
        <v>15</v>
      </c>
      <c r="D255" t="s">
        <v>30</v>
      </c>
      <c r="E255" t="s">
        <v>17</v>
      </c>
      <c r="F255">
        <v>10</v>
      </c>
      <c r="G255">
        <v>258145</v>
      </c>
      <c r="H255" t="s">
        <v>28</v>
      </c>
      <c r="I255">
        <v>4</v>
      </c>
      <c r="J255" t="s">
        <v>19</v>
      </c>
      <c r="K255">
        <v>39</v>
      </c>
      <c r="L255">
        <v>3</v>
      </c>
      <c r="M255" t="s">
        <v>19</v>
      </c>
      <c r="N255" t="s">
        <v>19</v>
      </c>
    </row>
    <row r="256" spans="1:14">
      <c r="A256" t="s">
        <v>284</v>
      </c>
      <c r="B256">
        <v>36</v>
      </c>
      <c r="C256" t="s">
        <v>22</v>
      </c>
      <c r="D256" t="s">
        <v>25</v>
      </c>
      <c r="E256" t="s">
        <v>33</v>
      </c>
      <c r="F256">
        <v>6</v>
      </c>
      <c r="G256">
        <v>1535031</v>
      </c>
      <c r="H256" t="s">
        <v>18</v>
      </c>
      <c r="I256">
        <v>5</v>
      </c>
      <c r="J256" t="s">
        <v>20</v>
      </c>
      <c r="K256">
        <v>33</v>
      </c>
      <c r="L256">
        <v>1</v>
      </c>
      <c r="M256" t="s">
        <v>19</v>
      </c>
      <c r="N256" t="s">
        <v>20</v>
      </c>
    </row>
    <row r="257" spans="1:14">
      <c r="A257" t="s">
        <v>285</v>
      </c>
      <c r="B257">
        <v>51</v>
      </c>
      <c r="C257" t="s">
        <v>22</v>
      </c>
      <c r="D257" t="s">
        <v>16</v>
      </c>
      <c r="E257" t="s">
        <v>17</v>
      </c>
      <c r="F257">
        <v>7</v>
      </c>
      <c r="G257">
        <v>260539</v>
      </c>
      <c r="H257" t="s">
        <v>18</v>
      </c>
      <c r="I257">
        <v>10</v>
      </c>
      <c r="J257" t="s">
        <v>20</v>
      </c>
      <c r="K257">
        <v>57</v>
      </c>
      <c r="L257">
        <v>3</v>
      </c>
      <c r="M257" t="s">
        <v>20</v>
      </c>
      <c r="N257" t="s">
        <v>20</v>
      </c>
    </row>
    <row r="258" spans="1:14">
      <c r="A258" t="s">
        <v>286</v>
      </c>
      <c r="B258">
        <v>41</v>
      </c>
      <c r="C258" t="s">
        <v>22</v>
      </c>
      <c r="D258" t="s">
        <v>36</v>
      </c>
      <c r="E258" t="s">
        <v>17</v>
      </c>
      <c r="F258">
        <v>14</v>
      </c>
      <c r="G258">
        <v>313704</v>
      </c>
      <c r="H258" t="s">
        <v>28</v>
      </c>
      <c r="I258">
        <v>9</v>
      </c>
      <c r="J258" t="s">
        <v>20</v>
      </c>
      <c r="K258">
        <v>11</v>
      </c>
      <c r="L258">
        <v>1</v>
      </c>
      <c r="M258" t="s">
        <v>19</v>
      </c>
      <c r="N258" t="s">
        <v>20</v>
      </c>
    </row>
    <row r="259" spans="1:14">
      <c r="A259" t="s">
        <v>287</v>
      </c>
      <c r="B259">
        <v>43</v>
      </c>
      <c r="C259" t="s">
        <v>22</v>
      </c>
      <c r="D259" t="s">
        <v>36</v>
      </c>
      <c r="E259" t="s">
        <v>17</v>
      </c>
      <c r="F259">
        <v>5</v>
      </c>
      <c r="G259">
        <v>1111651</v>
      </c>
      <c r="H259" t="s">
        <v>28</v>
      </c>
      <c r="I259">
        <v>1</v>
      </c>
      <c r="J259" t="s">
        <v>20</v>
      </c>
      <c r="K259">
        <v>60</v>
      </c>
      <c r="L259">
        <v>3</v>
      </c>
      <c r="M259" t="s">
        <v>20</v>
      </c>
      <c r="N259" t="s">
        <v>20</v>
      </c>
    </row>
    <row r="260" spans="1:14">
      <c r="A260" t="s">
        <v>288</v>
      </c>
      <c r="B260">
        <v>35</v>
      </c>
      <c r="C260" t="s">
        <v>15</v>
      </c>
      <c r="D260" t="s">
        <v>27</v>
      </c>
      <c r="E260" t="s">
        <v>31</v>
      </c>
      <c r="F260">
        <v>15</v>
      </c>
      <c r="G260">
        <v>1337702</v>
      </c>
      <c r="H260" t="s">
        <v>18</v>
      </c>
      <c r="I260">
        <v>1</v>
      </c>
      <c r="J260" t="s">
        <v>20</v>
      </c>
      <c r="K260">
        <v>22</v>
      </c>
      <c r="L260">
        <v>3</v>
      </c>
      <c r="M260" t="s">
        <v>20</v>
      </c>
      <c r="N260" t="s">
        <v>20</v>
      </c>
    </row>
    <row r="261" spans="1:14">
      <c r="A261" t="s">
        <v>289</v>
      </c>
      <c r="B261">
        <v>36</v>
      </c>
      <c r="C261" t="s">
        <v>22</v>
      </c>
      <c r="D261" t="s">
        <v>25</v>
      </c>
      <c r="E261" t="s">
        <v>17</v>
      </c>
      <c r="F261">
        <v>13</v>
      </c>
      <c r="G261">
        <v>1674508</v>
      </c>
      <c r="H261" t="s">
        <v>34</v>
      </c>
      <c r="I261">
        <v>4</v>
      </c>
      <c r="J261" t="s">
        <v>19</v>
      </c>
      <c r="K261">
        <v>59</v>
      </c>
      <c r="L261">
        <v>1</v>
      </c>
      <c r="M261" t="s">
        <v>20</v>
      </c>
      <c r="N261" t="s">
        <v>19</v>
      </c>
    </row>
    <row r="262" spans="1:14">
      <c r="A262" t="s">
        <v>290</v>
      </c>
      <c r="B262">
        <v>51</v>
      </c>
      <c r="C262" t="s">
        <v>15</v>
      </c>
      <c r="D262" t="s">
        <v>16</v>
      </c>
      <c r="E262" t="s">
        <v>31</v>
      </c>
      <c r="F262">
        <v>3</v>
      </c>
      <c r="G262">
        <v>969210</v>
      </c>
      <c r="H262" t="s">
        <v>28</v>
      </c>
      <c r="I262">
        <v>9</v>
      </c>
      <c r="J262" t="s">
        <v>20</v>
      </c>
      <c r="K262">
        <v>18</v>
      </c>
      <c r="L262">
        <v>3</v>
      </c>
      <c r="M262" t="s">
        <v>20</v>
      </c>
      <c r="N262" t="s">
        <v>20</v>
      </c>
    </row>
    <row r="263" spans="1:14">
      <c r="A263" t="s">
        <v>291</v>
      </c>
      <c r="B263">
        <v>24</v>
      </c>
      <c r="C263" t="s">
        <v>15</v>
      </c>
      <c r="D263" t="s">
        <v>27</v>
      </c>
      <c r="E263" t="s">
        <v>17</v>
      </c>
      <c r="F263">
        <v>13</v>
      </c>
      <c r="G263">
        <v>943656</v>
      </c>
      <c r="H263" t="s">
        <v>34</v>
      </c>
      <c r="I263">
        <v>6</v>
      </c>
      <c r="J263" t="s">
        <v>20</v>
      </c>
      <c r="K263">
        <v>2</v>
      </c>
      <c r="L263">
        <v>2</v>
      </c>
      <c r="M263" t="s">
        <v>20</v>
      </c>
      <c r="N263" t="s">
        <v>20</v>
      </c>
    </row>
    <row r="264" spans="1:14">
      <c r="A264" t="s">
        <v>292</v>
      </c>
      <c r="B264">
        <v>21</v>
      </c>
      <c r="C264" t="s">
        <v>22</v>
      </c>
      <c r="D264" t="s">
        <v>27</v>
      </c>
      <c r="E264" t="s">
        <v>31</v>
      </c>
      <c r="F264">
        <v>10</v>
      </c>
      <c r="G264">
        <v>1050540</v>
      </c>
      <c r="H264" t="s">
        <v>18</v>
      </c>
      <c r="I264">
        <v>2</v>
      </c>
      <c r="J264" t="s">
        <v>20</v>
      </c>
      <c r="K264">
        <v>45</v>
      </c>
      <c r="L264">
        <v>1</v>
      </c>
      <c r="M264" t="s">
        <v>20</v>
      </c>
      <c r="N264" t="s">
        <v>20</v>
      </c>
    </row>
    <row r="265" spans="1:14">
      <c r="A265" t="s">
        <v>293</v>
      </c>
      <c r="B265">
        <v>52</v>
      </c>
      <c r="C265" t="s">
        <v>22</v>
      </c>
      <c r="D265" t="s">
        <v>36</v>
      </c>
      <c r="E265" t="s">
        <v>33</v>
      </c>
      <c r="F265">
        <v>3</v>
      </c>
      <c r="G265">
        <v>1427393</v>
      </c>
      <c r="H265" t="s">
        <v>34</v>
      </c>
      <c r="I265">
        <v>9</v>
      </c>
      <c r="J265" t="s">
        <v>20</v>
      </c>
      <c r="K265">
        <v>37</v>
      </c>
      <c r="L265">
        <v>4</v>
      </c>
      <c r="M265" t="s">
        <v>20</v>
      </c>
      <c r="N265" t="s">
        <v>20</v>
      </c>
    </row>
    <row r="266" spans="1:14">
      <c r="A266" t="s">
        <v>294</v>
      </c>
      <c r="B266">
        <v>41</v>
      </c>
      <c r="C266" t="s">
        <v>15</v>
      </c>
      <c r="D266" t="s">
        <v>27</v>
      </c>
      <c r="E266" t="s">
        <v>23</v>
      </c>
      <c r="F266">
        <v>6</v>
      </c>
      <c r="G266">
        <v>1019749</v>
      </c>
      <c r="H266" t="s">
        <v>34</v>
      </c>
      <c r="I266">
        <v>6</v>
      </c>
      <c r="J266" t="s">
        <v>20</v>
      </c>
      <c r="K266">
        <v>52</v>
      </c>
      <c r="L266">
        <v>2</v>
      </c>
      <c r="M266" t="s">
        <v>20</v>
      </c>
      <c r="N266" t="s">
        <v>20</v>
      </c>
    </row>
    <row r="267" spans="1:14">
      <c r="A267" t="s">
        <v>295</v>
      </c>
      <c r="B267">
        <v>59</v>
      </c>
      <c r="C267" t="s">
        <v>22</v>
      </c>
      <c r="D267" t="s">
        <v>36</v>
      </c>
      <c r="E267" t="s">
        <v>17</v>
      </c>
      <c r="F267">
        <v>14</v>
      </c>
      <c r="G267">
        <v>678364</v>
      </c>
      <c r="H267" t="s">
        <v>18</v>
      </c>
      <c r="I267">
        <v>5</v>
      </c>
      <c r="J267" t="s">
        <v>20</v>
      </c>
      <c r="K267">
        <v>10</v>
      </c>
      <c r="L267">
        <v>4</v>
      </c>
      <c r="M267" t="s">
        <v>19</v>
      </c>
      <c r="N267" t="s">
        <v>20</v>
      </c>
    </row>
    <row r="268" spans="1:14">
      <c r="A268" t="s">
        <v>296</v>
      </c>
      <c r="B268">
        <v>37</v>
      </c>
      <c r="C268" t="s">
        <v>15</v>
      </c>
      <c r="D268" t="s">
        <v>16</v>
      </c>
      <c r="E268" t="s">
        <v>31</v>
      </c>
      <c r="F268">
        <v>6</v>
      </c>
      <c r="G268">
        <v>1589626</v>
      </c>
      <c r="H268" t="s">
        <v>18</v>
      </c>
      <c r="I268">
        <v>7</v>
      </c>
      <c r="J268" t="s">
        <v>19</v>
      </c>
      <c r="K268">
        <v>27</v>
      </c>
      <c r="L268">
        <v>1</v>
      </c>
      <c r="M268" t="s">
        <v>20</v>
      </c>
      <c r="N268" t="s">
        <v>20</v>
      </c>
    </row>
    <row r="269" spans="1:14">
      <c r="A269" t="s">
        <v>297</v>
      </c>
      <c r="B269">
        <v>55</v>
      </c>
      <c r="C269" t="s">
        <v>22</v>
      </c>
      <c r="D269" t="s">
        <v>30</v>
      </c>
      <c r="E269" t="s">
        <v>23</v>
      </c>
      <c r="F269">
        <v>9</v>
      </c>
      <c r="G269">
        <v>1071938</v>
      </c>
      <c r="H269" t="s">
        <v>34</v>
      </c>
      <c r="I269">
        <v>8</v>
      </c>
      <c r="J269" t="s">
        <v>19</v>
      </c>
      <c r="K269">
        <v>29</v>
      </c>
      <c r="L269">
        <v>5</v>
      </c>
      <c r="M269" t="s">
        <v>19</v>
      </c>
      <c r="N269" t="s">
        <v>20</v>
      </c>
    </row>
    <row r="270" spans="1:14">
      <c r="A270" t="s">
        <v>298</v>
      </c>
      <c r="B270">
        <v>50</v>
      </c>
      <c r="C270" t="s">
        <v>22</v>
      </c>
      <c r="D270" t="s">
        <v>36</v>
      </c>
      <c r="E270" t="s">
        <v>23</v>
      </c>
      <c r="F270">
        <v>17</v>
      </c>
      <c r="G270">
        <v>1068461</v>
      </c>
      <c r="H270" t="s">
        <v>34</v>
      </c>
      <c r="I270">
        <v>7</v>
      </c>
      <c r="J270" t="s">
        <v>19</v>
      </c>
      <c r="K270">
        <v>45</v>
      </c>
      <c r="L270">
        <v>2</v>
      </c>
      <c r="M270" t="s">
        <v>20</v>
      </c>
      <c r="N270" t="s">
        <v>20</v>
      </c>
    </row>
    <row r="271" spans="1:14">
      <c r="A271" t="s">
        <v>299</v>
      </c>
      <c r="B271">
        <v>51</v>
      </c>
      <c r="C271" t="s">
        <v>22</v>
      </c>
      <c r="D271" t="s">
        <v>30</v>
      </c>
      <c r="E271" t="s">
        <v>31</v>
      </c>
      <c r="F271">
        <v>2</v>
      </c>
      <c r="G271">
        <v>1503172</v>
      </c>
      <c r="H271" t="s">
        <v>18</v>
      </c>
      <c r="I271">
        <v>9</v>
      </c>
      <c r="J271" t="s">
        <v>20</v>
      </c>
      <c r="K271">
        <v>1</v>
      </c>
      <c r="L271">
        <v>1</v>
      </c>
      <c r="M271" t="s">
        <v>20</v>
      </c>
      <c r="N271" t="s">
        <v>20</v>
      </c>
    </row>
    <row r="272" spans="1:14">
      <c r="A272" t="s">
        <v>300</v>
      </c>
      <c r="B272">
        <v>24</v>
      </c>
      <c r="C272" t="s">
        <v>15</v>
      </c>
      <c r="D272" t="s">
        <v>36</v>
      </c>
      <c r="E272" t="s">
        <v>23</v>
      </c>
      <c r="F272">
        <v>18</v>
      </c>
      <c r="G272">
        <v>1470248</v>
      </c>
      <c r="H272" t="s">
        <v>34</v>
      </c>
      <c r="I272">
        <v>9</v>
      </c>
      <c r="J272" t="s">
        <v>20</v>
      </c>
      <c r="K272">
        <v>59</v>
      </c>
      <c r="L272">
        <v>5</v>
      </c>
      <c r="M272" t="s">
        <v>20</v>
      </c>
      <c r="N272" t="s">
        <v>20</v>
      </c>
    </row>
    <row r="273" spans="1:14">
      <c r="A273" t="s">
        <v>301</v>
      </c>
      <c r="B273">
        <v>43</v>
      </c>
      <c r="C273" t="s">
        <v>22</v>
      </c>
      <c r="D273" t="s">
        <v>27</v>
      </c>
      <c r="E273" t="s">
        <v>33</v>
      </c>
      <c r="F273">
        <v>20</v>
      </c>
      <c r="G273">
        <v>1488656</v>
      </c>
      <c r="H273" t="s">
        <v>18</v>
      </c>
      <c r="I273">
        <v>10</v>
      </c>
      <c r="J273" t="s">
        <v>20</v>
      </c>
      <c r="K273">
        <v>11</v>
      </c>
      <c r="L273">
        <v>2</v>
      </c>
      <c r="M273" t="s">
        <v>20</v>
      </c>
      <c r="N273" t="s">
        <v>20</v>
      </c>
    </row>
    <row r="274" spans="1:14">
      <c r="A274" t="s">
        <v>302</v>
      </c>
      <c r="B274">
        <v>52</v>
      </c>
      <c r="C274" t="s">
        <v>22</v>
      </c>
      <c r="D274" t="s">
        <v>25</v>
      </c>
      <c r="E274" t="s">
        <v>33</v>
      </c>
      <c r="F274">
        <v>15</v>
      </c>
      <c r="G274">
        <v>1207658</v>
      </c>
      <c r="H274" t="s">
        <v>34</v>
      </c>
      <c r="I274">
        <v>2</v>
      </c>
      <c r="J274" t="s">
        <v>19</v>
      </c>
      <c r="K274">
        <v>1</v>
      </c>
      <c r="L274">
        <v>4</v>
      </c>
      <c r="M274" t="s">
        <v>19</v>
      </c>
      <c r="N274" t="s">
        <v>19</v>
      </c>
    </row>
    <row r="275" spans="1:14">
      <c r="A275" t="s">
        <v>303</v>
      </c>
      <c r="B275">
        <v>26</v>
      </c>
      <c r="C275" t="s">
        <v>22</v>
      </c>
      <c r="D275" t="s">
        <v>36</v>
      </c>
      <c r="E275" t="s">
        <v>17</v>
      </c>
      <c r="F275">
        <v>16</v>
      </c>
      <c r="G275">
        <v>1451227</v>
      </c>
      <c r="H275" t="s">
        <v>28</v>
      </c>
      <c r="I275">
        <v>3</v>
      </c>
      <c r="J275" t="s">
        <v>20</v>
      </c>
      <c r="K275">
        <v>5</v>
      </c>
      <c r="L275">
        <v>4</v>
      </c>
      <c r="M275" t="s">
        <v>20</v>
      </c>
      <c r="N275" t="s">
        <v>20</v>
      </c>
    </row>
    <row r="276" spans="1:14">
      <c r="A276" t="s">
        <v>304</v>
      </c>
      <c r="B276">
        <v>24</v>
      </c>
      <c r="C276" t="s">
        <v>22</v>
      </c>
      <c r="D276" t="s">
        <v>36</v>
      </c>
      <c r="E276" t="s">
        <v>17</v>
      </c>
      <c r="F276">
        <v>10</v>
      </c>
      <c r="G276">
        <v>1564990</v>
      </c>
      <c r="H276" t="s">
        <v>18</v>
      </c>
      <c r="I276">
        <v>8</v>
      </c>
      <c r="J276" t="s">
        <v>20</v>
      </c>
      <c r="K276">
        <v>0</v>
      </c>
      <c r="L276">
        <v>4</v>
      </c>
      <c r="M276" t="s">
        <v>20</v>
      </c>
      <c r="N276" t="s">
        <v>20</v>
      </c>
    </row>
    <row r="277" spans="1:14">
      <c r="A277" t="s">
        <v>305</v>
      </c>
      <c r="B277">
        <v>27</v>
      </c>
      <c r="C277" t="s">
        <v>22</v>
      </c>
      <c r="D277" t="s">
        <v>25</v>
      </c>
      <c r="E277" t="s">
        <v>23</v>
      </c>
      <c r="F277">
        <v>1</v>
      </c>
      <c r="G277">
        <v>651025</v>
      </c>
      <c r="H277" t="s">
        <v>18</v>
      </c>
      <c r="I277">
        <v>6</v>
      </c>
      <c r="J277" t="s">
        <v>19</v>
      </c>
      <c r="K277">
        <v>26</v>
      </c>
      <c r="L277">
        <v>4</v>
      </c>
      <c r="M277" t="s">
        <v>20</v>
      </c>
      <c r="N277" t="s">
        <v>19</v>
      </c>
    </row>
    <row r="278" spans="1:14">
      <c r="A278" t="s">
        <v>306</v>
      </c>
      <c r="B278">
        <v>22</v>
      </c>
      <c r="C278" t="s">
        <v>22</v>
      </c>
      <c r="D278" t="s">
        <v>16</v>
      </c>
      <c r="E278" t="s">
        <v>23</v>
      </c>
      <c r="F278">
        <v>4</v>
      </c>
      <c r="G278">
        <v>936915</v>
      </c>
      <c r="H278" t="s">
        <v>28</v>
      </c>
      <c r="I278">
        <v>4</v>
      </c>
      <c r="J278" t="s">
        <v>20</v>
      </c>
      <c r="K278">
        <v>16</v>
      </c>
      <c r="L278">
        <v>4</v>
      </c>
      <c r="M278" t="s">
        <v>19</v>
      </c>
      <c r="N278" t="s">
        <v>20</v>
      </c>
    </row>
    <row r="279" spans="1:14">
      <c r="A279" t="s">
        <v>307</v>
      </c>
      <c r="B279">
        <v>51</v>
      </c>
      <c r="C279" t="s">
        <v>15</v>
      </c>
      <c r="D279" t="s">
        <v>30</v>
      </c>
      <c r="E279" t="s">
        <v>31</v>
      </c>
      <c r="F279">
        <v>2</v>
      </c>
      <c r="G279">
        <v>458304</v>
      </c>
      <c r="H279" t="s">
        <v>18</v>
      </c>
      <c r="I279">
        <v>5</v>
      </c>
      <c r="J279" t="s">
        <v>20</v>
      </c>
      <c r="K279">
        <v>4</v>
      </c>
      <c r="L279">
        <v>4</v>
      </c>
      <c r="M279" t="s">
        <v>19</v>
      </c>
      <c r="N279" t="s">
        <v>20</v>
      </c>
    </row>
    <row r="280" spans="1:14">
      <c r="A280" t="s">
        <v>308</v>
      </c>
      <c r="B280">
        <v>45</v>
      </c>
      <c r="C280" t="s">
        <v>22</v>
      </c>
      <c r="D280" t="s">
        <v>25</v>
      </c>
      <c r="E280" t="s">
        <v>17</v>
      </c>
      <c r="F280">
        <v>6</v>
      </c>
      <c r="G280">
        <v>1030054</v>
      </c>
      <c r="H280" t="s">
        <v>18</v>
      </c>
      <c r="I280">
        <v>3</v>
      </c>
      <c r="J280" t="s">
        <v>20</v>
      </c>
      <c r="K280">
        <v>49</v>
      </c>
      <c r="L280">
        <v>2</v>
      </c>
      <c r="M280" t="s">
        <v>19</v>
      </c>
      <c r="N280" t="s">
        <v>20</v>
      </c>
    </row>
    <row r="281" spans="1:14">
      <c r="A281" t="s">
        <v>309</v>
      </c>
      <c r="B281">
        <v>39</v>
      </c>
      <c r="C281" t="s">
        <v>22</v>
      </c>
      <c r="D281" t="s">
        <v>27</v>
      </c>
      <c r="E281" t="s">
        <v>17</v>
      </c>
      <c r="F281">
        <v>9</v>
      </c>
      <c r="G281">
        <v>1035783</v>
      </c>
      <c r="H281" t="s">
        <v>34</v>
      </c>
      <c r="I281">
        <v>5</v>
      </c>
      <c r="J281" t="s">
        <v>19</v>
      </c>
      <c r="K281">
        <v>46</v>
      </c>
      <c r="L281">
        <v>1</v>
      </c>
      <c r="M281" t="s">
        <v>19</v>
      </c>
      <c r="N281" t="s">
        <v>20</v>
      </c>
    </row>
    <row r="282" spans="1:14">
      <c r="A282" t="s">
        <v>310</v>
      </c>
      <c r="B282">
        <v>58</v>
      </c>
      <c r="C282" t="s">
        <v>22</v>
      </c>
      <c r="D282" t="s">
        <v>36</v>
      </c>
      <c r="E282" t="s">
        <v>31</v>
      </c>
      <c r="F282">
        <v>3</v>
      </c>
      <c r="G282">
        <v>1440670</v>
      </c>
      <c r="H282" t="s">
        <v>18</v>
      </c>
      <c r="I282">
        <v>5</v>
      </c>
      <c r="J282" t="s">
        <v>20</v>
      </c>
      <c r="K282">
        <v>8</v>
      </c>
      <c r="L282">
        <v>1</v>
      </c>
      <c r="M282" t="s">
        <v>19</v>
      </c>
      <c r="N282" t="s">
        <v>20</v>
      </c>
    </row>
    <row r="283" spans="1:14">
      <c r="A283" t="s">
        <v>311</v>
      </c>
      <c r="B283">
        <v>23</v>
      </c>
      <c r="C283" t="s">
        <v>15</v>
      </c>
      <c r="D283" t="s">
        <v>16</v>
      </c>
      <c r="E283" t="s">
        <v>31</v>
      </c>
      <c r="F283">
        <v>2</v>
      </c>
      <c r="G283">
        <v>484479</v>
      </c>
      <c r="H283" t="s">
        <v>34</v>
      </c>
      <c r="I283">
        <v>3</v>
      </c>
      <c r="J283" t="s">
        <v>19</v>
      </c>
      <c r="K283">
        <v>16</v>
      </c>
      <c r="L283">
        <v>5</v>
      </c>
      <c r="M283" t="s">
        <v>20</v>
      </c>
      <c r="N283" t="s">
        <v>19</v>
      </c>
    </row>
    <row r="284" spans="1:14">
      <c r="A284" t="s">
        <v>312</v>
      </c>
      <c r="B284">
        <v>50</v>
      </c>
      <c r="C284" t="s">
        <v>15</v>
      </c>
      <c r="D284" t="s">
        <v>16</v>
      </c>
      <c r="E284" t="s">
        <v>17</v>
      </c>
      <c r="F284">
        <v>20</v>
      </c>
      <c r="G284">
        <v>975994</v>
      </c>
      <c r="H284" t="s">
        <v>34</v>
      </c>
      <c r="I284">
        <v>3</v>
      </c>
      <c r="J284" t="s">
        <v>19</v>
      </c>
      <c r="K284">
        <v>34</v>
      </c>
      <c r="L284">
        <v>4</v>
      </c>
      <c r="M284" t="s">
        <v>19</v>
      </c>
      <c r="N284" t="s">
        <v>19</v>
      </c>
    </row>
    <row r="285" spans="1:14">
      <c r="A285" t="s">
        <v>313</v>
      </c>
      <c r="B285">
        <v>34</v>
      </c>
      <c r="C285" t="s">
        <v>22</v>
      </c>
      <c r="D285" t="s">
        <v>30</v>
      </c>
      <c r="E285" t="s">
        <v>31</v>
      </c>
      <c r="F285">
        <v>4</v>
      </c>
      <c r="G285">
        <v>1610752</v>
      </c>
      <c r="H285" t="s">
        <v>34</v>
      </c>
      <c r="I285">
        <v>5</v>
      </c>
      <c r="J285" t="s">
        <v>20</v>
      </c>
      <c r="K285">
        <v>46</v>
      </c>
      <c r="L285">
        <v>5</v>
      </c>
      <c r="M285" t="s">
        <v>20</v>
      </c>
      <c r="N285" t="s">
        <v>20</v>
      </c>
    </row>
    <row r="286" spans="1:14">
      <c r="A286" t="s">
        <v>314</v>
      </c>
      <c r="B286">
        <v>29</v>
      </c>
      <c r="C286" t="s">
        <v>15</v>
      </c>
      <c r="D286" t="s">
        <v>25</v>
      </c>
      <c r="E286" t="s">
        <v>17</v>
      </c>
      <c r="F286">
        <v>3</v>
      </c>
      <c r="G286">
        <v>1004887</v>
      </c>
      <c r="H286" t="s">
        <v>28</v>
      </c>
      <c r="I286">
        <v>10</v>
      </c>
      <c r="J286" t="s">
        <v>19</v>
      </c>
      <c r="K286">
        <v>56</v>
      </c>
      <c r="L286">
        <v>5</v>
      </c>
      <c r="M286" t="s">
        <v>20</v>
      </c>
      <c r="N286" t="s">
        <v>20</v>
      </c>
    </row>
    <row r="287" spans="1:14">
      <c r="A287" t="s">
        <v>315</v>
      </c>
      <c r="B287">
        <v>56</v>
      </c>
      <c r="C287" t="s">
        <v>22</v>
      </c>
      <c r="D287" t="s">
        <v>30</v>
      </c>
      <c r="E287" t="s">
        <v>33</v>
      </c>
      <c r="F287">
        <v>5</v>
      </c>
      <c r="G287">
        <v>532512</v>
      </c>
      <c r="H287" t="s">
        <v>28</v>
      </c>
      <c r="I287">
        <v>5</v>
      </c>
      <c r="J287" t="s">
        <v>19</v>
      </c>
      <c r="K287">
        <v>42</v>
      </c>
      <c r="L287">
        <v>2</v>
      </c>
      <c r="M287" t="s">
        <v>20</v>
      </c>
      <c r="N287" t="s">
        <v>20</v>
      </c>
    </row>
    <row r="288" spans="1:14">
      <c r="A288" t="s">
        <v>316</v>
      </c>
      <c r="B288">
        <v>57</v>
      </c>
      <c r="C288" t="s">
        <v>15</v>
      </c>
      <c r="D288" t="s">
        <v>16</v>
      </c>
      <c r="E288" t="s">
        <v>17</v>
      </c>
      <c r="F288">
        <v>15</v>
      </c>
      <c r="G288">
        <v>753354</v>
      </c>
      <c r="H288" t="s">
        <v>18</v>
      </c>
      <c r="I288">
        <v>7</v>
      </c>
      <c r="J288" t="s">
        <v>20</v>
      </c>
      <c r="K288">
        <v>35</v>
      </c>
      <c r="L288">
        <v>3</v>
      </c>
      <c r="M288" t="s">
        <v>20</v>
      </c>
      <c r="N288" t="s">
        <v>20</v>
      </c>
    </row>
    <row r="289" spans="1:14">
      <c r="A289" t="s">
        <v>317</v>
      </c>
      <c r="B289">
        <v>32</v>
      </c>
      <c r="C289" t="s">
        <v>15</v>
      </c>
      <c r="D289" t="s">
        <v>25</v>
      </c>
      <c r="E289" t="s">
        <v>33</v>
      </c>
      <c r="F289">
        <v>20</v>
      </c>
      <c r="G289">
        <v>1171512</v>
      </c>
      <c r="H289" t="s">
        <v>28</v>
      </c>
      <c r="I289">
        <v>8</v>
      </c>
      <c r="J289" t="s">
        <v>20</v>
      </c>
      <c r="K289">
        <v>14</v>
      </c>
      <c r="L289">
        <v>3</v>
      </c>
      <c r="M289" t="s">
        <v>19</v>
      </c>
      <c r="N289" t="s">
        <v>20</v>
      </c>
    </row>
    <row r="290" spans="1:14">
      <c r="A290" t="s">
        <v>318</v>
      </c>
      <c r="B290">
        <v>49</v>
      </c>
      <c r="C290" t="s">
        <v>15</v>
      </c>
      <c r="D290" t="s">
        <v>27</v>
      </c>
      <c r="E290" t="s">
        <v>17</v>
      </c>
      <c r="F290">
        <v>7</v>
      </c>
      <c r="G290">
        <v>532938</v>
      </c>
      <c r="H290" t="s">
        <v>28</v>
      </c>
      <c r="I290">
        <v>10</v>
      </c>
      <c r="J290" t="s">
        <v>20</v>
      </c>
      <c r="K290">
        <v>60</v>
      </c>
      <c r="L290">
        <v>1</v>
      </c>
      <c r="M290" t="s">
        <v>19</v>
      </c>
      <c r="N290" t="s">
        <v>20</v>
      </c>
    </row>
    <row r="291" spans="1:14">
      <c r="A291" t="s">
        <v>319</v>
      </c>
      <c r="B291">
        <v>52</v>
      </c>
      <c r="C291" t="s">
        <v>15</v>
      </c>
      <c r="D291" t="s">
        <v>27</v>
      </c>
      <c r="E291" t="s">
        <v>23</v>
      </c>
      <c r="F291">
        <v>0</v>
      </c>
      <c r="G291">
        <v>535551</v>
      </c>
      <c r="H291" t="s">
        <v>18</v>
      </c>
      <c r="I291">
        <v>2</v>
      </c>
      <c r="J291" t="s">
        <v>20</v>
      </c>
      <c r="K291">
        <v>42</v>
      </c>
      <c r="L291">
        <v>1</v>
      </c>
      <c r="M291" t="s">
        <v>20</v>
      </c>
      <c r="N291" t="s">
        <v>20</v>
      </c>
    </row>
    <row r="292" spans="1:14">
      <c r="A292" t="s">
        <v>320</v>
      </c>
      <c r="B292">
        <v>47</v>
      </c>
      <c r="C292" t="s">
        <v>22</v>
      </c>
      <c r="D292" t="s">
        <v>25</v>
      </c>
      <c r="E292" t="s">
        <v>17</v>
      </c>
      <c r="F292">
        <v>10</v>
      </c>
      <c r="G292">
        <v>1666924</v>
      </c>
      <c r="H292" t="s">
        <v>18</v>
      </c>
      <c r="I292">
        <v>8</v>
      </c>
      <c r="J292" t="s">
        <v>20</v>
      </c>
      <c r="K292">
        <v>7</v>
      </c>
      <c r="L292">
        <v>3</v>
      </c>
      <c r="M292" t="s">
        <v>20</v>
      </c>
      <c r="N292" t="s">
        <v>20</v>
      </c>
    </row>
    <row r="293" spans="1:14">
      <c r="A293" t="s">
        <v>321</v>
      </c>
      <c r="B293">
        <v>30</v>
      </c>
      <c r="C293" t="s">
        <v>22</v>
      </c>
      <c r="D293" t="s">
        <v>27</v>
      </c>
      <c r="E293" t="s">
        <v>17</v>
      </c>
      <c r="F293">
        <v>12</v>
      </c>
      <c r="G293">
        <v>1703075</v>
      </c>
      <c r="H293" t="s">
        <v>34</v>
      </c>
      <c r="I293">
        <v>10</v>
      </c>
      <c r="J293" t="s">
        <v>20</v>
      </c>
      <c r="K293">
        <v>5</v>
      </c>
      <c r="L293">
        <v>3</v>
      </c>
      <c r="M293" t="s">
        <v>20</v>
      </c>
      <c r="N293" t="s">
        <v>20</v>
      </c>
    </row>
    <row r="294" spans="1:14">
      <c r="A294" t="s">
        <v>322</v>
      </c>
      <c r="B294">
        <v>25</v>
      </c>
      <c r="C294" t="s">
        <v>22</v>
      </c>
      <c r="D294" t="s">
        <v>25</v>
      </c>
      <c r="E294" t="s">
        <v>17</v>
      </c>
      <c r="F294">
        <v>6</v>
      </c>
      <c r="G294">
        <v>677376</v>
      </c>
      <c r="H294" t="s">
        <v>28</v>
      </c>
      <c r="I294">
        <v>5</v>
      </c>
      <c r="J294" t="s">
        <v>20</v>
      </c>
      <c r="K294">
        <v>24</v>
      </c>
      <c r="L294">
        <v>3</v>
      </c>
      <c r="M294" t="s">
        <v>20</v>
      </c>
      <c r="N294" t="s">
        <v>20</v>
      </c>
    </row>
    <row r="295" spans="1:14">
      <c r="A295" t="s">
        <v>323</v>
      </c>
      <c r="B295">
        <v>44</v>
      </c>
      <c r="C295" t="s">
        <v>22</v>
      </c>
      <c r="D295" t="s">
        <v>36</v>
      </c>
      <c r="E295" t="s">
        <v>23</v>
      </c>
      <c r="F295">
        <v>2</v>
      </c>
      <c r="G295">
        <v>1147700</v>
      </c>
      <c r="H295" t="s">
        <v>18</v>
      </c>
      <c r="I295">
        <v>10</v>
      </c>
      <c r="J295" t="s">
        <v>20</v>
      </c>
      <c r="K295">
        <v>12</v>
      </c>
      <c r="L295">
        <v>2</v>
      </c>
      <c r="M295" t="s">
        <v>20</v>
      </c>
      <c r="N295" t="s">
        <v>20</v>
      </c>
    </row>
    <row r="296" spans="1:14">
      <c r="A296" t="s">
        <v>324</v>
      </c>
      <c r="B296">
        <v>34</v>
      </c>
      <c r="C296" t="s">
        <v>22</v>
      </c>
      <c r="D296" t="s">
        <v>30</v>
      </c>
      <c r="E296" t="s">
        <v>23</v>
      </c>
      <c r="F296">
        <v>0</v>
      </c>
      <c r="G296">
        <v>880724</v>
      </c>
      <c r="H296" t="s">
        <v>18</v>
      </c>
      <c r="I296">
        <v>6</v>
      </c>
      <c r="J296" t="s">
        <v>19</v>
      </c>
      <c r="K296">
        <v>15</v>
      </c>
      <c r="L296">
        <v>3</v>
      </c>
      <c r="M296" t="s">
        <v>20</v>
      </c>
      <c r="N296" t="s">
        <v>19</v>
      </c>
    </row>
    <row r="297" spans="1:14">
      <c r="A297" t="s">
        <v>325</v>
      </c>
      <c r="B297">
        <v>42</v>
      </c>
      <c r="C297" t="s">
        <v>22</v>
      </c>
      <c r="D297" t="s">
        <v>30</v>
      </c>
      <c r="E297" t="s">
        <v>23</v>
      </c>
      <c r="F297">
        <v>10</v>
      </c>
      <c r="G297">
        <v>393495</v>
      </c>
      <c r="H297" t="s">
        <v>18</v>
      </c>
      <c r="I297">
        <v>5</v>
      </c>
      <c r="J297" t="s">
        <v>19</v>
      </c>
      <c r="K297">
        <v>5</v>
      </c>
      <c r="L297">
        <v>3</v>
      </c>
      <c r="M297" t="s">
        <v>20</v>
      </c>
      <c r="N297" t="s">
        <v>19</v>
      </c>
    </row>
    <row r="298" spans="1:14">
      <c r="A298" t="s">
        <v>326</v>
      </c>
      <c r="B298">
        <v>51</v>
      </c>
      <c r="C298" t="s">
        <v>15</v>
      </c>
      <c r="D298" t="s">
        <v>25</v>
      </c>
      <c r="E298" t="s">
        <v>31</v>
      </c>
      <c r="F298">
        <v>5</v>
      </c>
      <c r="G298">
        <v>1220150</v>
      </c>
      <c r="H298" t="s">
        <v>34</v>
      </c>
      <c r="I298">
        <v>5</v>
      </c>
      <c r="J298" t="s">
        <v>19</v>
      </c>
      <c r="K298">
        <v>31</v>
      </c>
      <c r="L298">
        <v>2</v>
      </c>
      <c r="M298" t="s">
        <v>20</v>
      </c>
      <c r="N298" t="s">
        <v>20</v>
      </c>
    </row>
    <row r="299" spans="1:14">
      <c r="A299" t="s">
        <v>327</v>
      </c>
      <c r="B299">
        <v>51</v>
      </c>
      <c r="C299" t="s">
        <v>15</v>
      </c>
      <c r="D299" t="s">
        <v>25</v>
      </c>
      <c r="E299" t="s">
        <v>17</v>
      </c>
      <c r="F299">
        <v>13</v>
      </c>
      <c r="G299">
        <v>1000498</v>
      </c>
      <c r="H299" t="s">
        <v>28</v>
      </c>
      <c r="I299">
        <v>1</v>
      </c>
      <c r="J299" t="s">
        <v>19</v>
      </c>
      <c r="K299">
        <v>27</v>
      </c>
      <c r="L299">
        <v>3</v>
      </c>
      <c r="M299" t="s">
        <v>20</v>
      </c>
      <c r="N299" t="s">
        <v>19</v>
      </c>
    </row>
    <row r="300" spans="1:14">
      <c r="A300" t="s">
        <v>328</v>
      </c>
      <c r="B300">
        <v>38</v>
      </c>
      <c r="C300" t="s">
        <v>15</v>
      </c>
      <c r="D300" t="s">
        <v>25</v>
      </c>
      <c r="E300" t="s">
        <v>33</v>
      </c>
      <c r="F300">
        <v>14</v>
      </c>
      <c r="G300">
        <v>1337154</v>
      </c>
      <c r="H300" t="s">
        <v>18</v>
      </c>
      <c r="I300">
        <v>3</v>
      </c>
      <c r="J300" t="s">
        <v>20</v>
      </c>
      <c r="K300">
        <v>14</v>
      </c>
      <c r="L300">
        <v>2</v>
      </c>
      <c r="M300" t="s">
        <v>19</v>
      </c>
      <c r="N300" t="s">
        <v>20</v>
      </c>
    </row>
    <row r="301" spans="1:14">
      <c r="A301" t="s">
        <v>329</v>
      </c>
      <c r="B301">
        <v>23</v>
      </c>
      <c r="C301" t="s">
        <v>15</v>
      </c>
      <c r="D301" t="s">
        <v>16</v>
      </c>
      <c r="E301" t="s">
        <v>31</v>
      </c>
      <c r="F301">
        <v>15</v>
      </c>
      <c r="G301">
        <v>851324</v>
      </c>
      <c r="H301" t="s">
        <v>18</v>
      </c>
      <c r="I301">
        <v>4</v>
      </c>
      <c r="J301" t="s">
        <v>19</v>
      </c>
      <c r="K301">
        <v>39</v>
      </c>
      <c r="L301">
        <v>1</v>
      </c>
      <c r="M301" t="s">
        <v>19</v>
      </c>
      <c r="N301" t="s">
        <v>19</v>
      </c>
    </row>
    <row r="302" spans="1:14">
      <c r="A302" t="s">
        <v>330</v>
      </c>
      <c r="B302">
        <v>43</v>
      </c>
      <c r="C302" t="s">
        <v>22</v>
      </c>
      <c r="D302" t="s">
        <v>16</v>
      </c>
      <c r="E302" t="s">
        <v>17</v>
      </c>
      <c r="F302">
        <v>5</v>
      </c>
      <c r="G302">
        <v>1016924</v>
      </c>
      <c r="H302" t="s">
        <v>18</v>
      </c>
      <c r="I302">
        <v>9</v>
      </c>
      <c r="J302" t="s">
        <v>20</v>
      </c>
      <c r="K302">
        <v>44</v>
      </c>
      <c r="L302">
        <v>2</v>
      </c>
      <c r="M302" t="s">
        <v>20</v>
      </c>
      <c r="N302" t="s">
        <v>20</v>
      </c>
    </row>
    <row r="303" spans="1:14">
      <c r="A303" t="s">
        <v>331</v>
      </c>
      <c r="B303">
        <v>59</v>
      </c>
      <c r="C303" t="s">
        <v>15</v>
      </c>
      <c r="D303" t="s">
        <v>36</v>
      </c>
      <c r="E303" t="s">
        <v>23</v>
      </c>
      <c r="F303">
        <v>15</v>
      </c>
      <c r="G303">
        <v>630418</v>
      </c>
      <c r="H303" t="s">
        <v>34</v>
      </c>
      <c r="I303">
        <v>1</v>
      </c>
      <c r="J303" t="s">
        <v>20</v>
      </c>
      <c r="K303">
        <v>48</v>
      </c>
      <c r="L303">
        <v>3</v>
      </c>
      <c r="M303" t="s">
        <v>20</v>
      </c>
      <c r="N303" t="s">
        <v>20</v>
      </c>
    </row>
    <row r="304" spans="1:14">
      <c r="A304" t="s">
        <v>332</v>
      </c>
      <c r="B304">
        <v>59</v>
      </c>
      <c r="C304" t="s">
        <v>15</v>
      </c>
      <c r="D304" t="s">
        <v>25</v>
      </c>
      <c r="E304" t="s">
        <v>33</v>
      </c>
      <c r="F304">
        <v>15</v>
      </c>
      <c r="G304">
        <v>1416600</v>
      </c>
      <c r="H304" t="s">
        <v>28</v>
      </c>
      <c r="I304">
        <v>3</v>
      </c>
      <c r="J304" t="s">
        <v>19</v>
      </c>
      <c r="K304">
        <v>15</v>
      </c>
      <c r="L304">
        <v>2</v>
      </c>
      <c r="M304" t="s">
        <v>20</v>
      </c>
      <c r="N304" t="s">
        <v>19</v>
      </c>
    </row>
    <row r="305" spans="1:14">
      <c r="A305" t="s">
        <v>333</v>
      </c>
      <c r="B305">
        <v>34</v>
      </c>
      <c r="C305" t="s">
        <v>15</v>
      </c>
      <c r="D305" t="s">
        <v>16</v>
      </c>
      <c r="E305" t="s">
        <v>23</v>
      </c>
      <c r="F305">
        <v>2</v>
      </c>
      <c r="G305">
        <v>992513</v>
      </c>
      <c r="H305" t="s">
        <v>28</v>
      </c>
      <c r="I305">
        <v>3</v>
      </c>
      <c r="J305" t="s">
        <v>20</v>
      </c>
      <c r="K305">
        <v>46</v>
      </c>
      <c r="L305">
        <v>5</v>
      </c>
      <c r="M305" t="s">
        <v>19</v>
      </c>
      <c r="N305" t="s">
        <v>20</v>
      </c>
    </row>
    <row r="306" spans="1:14">
      <c r="A306" t="s">
        <v>334</v>
      </c>
      <c r="B306">
        <v>30</v>
      </c>
      <c r="C306" t="s">
        <v>15</v>
      </c>
      <c r="D306" t="s">
        <v>16</v>
      </c>
      <c r="E306" t="s">
        <v>31</v>
      </c>
      <c r="F306">
        <v>18</v>
      </c>
      <c r="G306">
        <v>850501</v>
      </c>
      <c r="H306" t="s">
        <v>34</v>
      </c>
      <c r="I306">
        <v>8</v>
      </c>
      <c r="J306" t="s">
        <v>19</v>
      </c>
      <c r="K306">
        <v>59</v>
      </c>
      <c r="L306">
        <v>4</v>
      </c>
      <c r="M306" t="s">
        <v>20</v>
      </c>
      <c r="N306" t="s">
        <v>20</v>
      </c>
    </row>
    <row r="307" spans="1:14">
      <c r="A307" t="s">
        <v>335</v>
      </c>
      <c r="B307">
        <v>60</v>
      </c>
      <c r="C307" t="s">
        <v>15</v>
      </c>
      <c r="D307" t="s">
        <v>27</v>
      </c>
      <c r="E307" t="s">
        <v>31</v>
      </c>
      <c r="F307">
        <v>11</v>
      </c>
      <c r="G307">
        <v>1305222</v>
      </c>
      <c r="H307" t="s">
        <v>18</v>
      </c>
      <c r="I307">
        <v>1</v>
      </c>
      <c r="J307" t="s">
        <v>20</v>
      </c>
      <c r="K307">
        <v>38</v>
      </c>
      <c r="L307">
        <v>5</v>
      </c>
      <c r="M307" t="s">
        <v>20</v>
      </c>
      <c r="N307" t="s">
        <v>20</v>
      </c>
    </row>
    <row r="308" spans="1:14">
      <c r="A308" t="s">
        <v>336</v>
      </c>
      <c r="B308">
        <v>58</v>
      </c>
      <c r="C308" t="s">
        <v>22</v>
      </c>
      <c r="D308" t="s">
        <v>30</v>
      </c>
      <c r="E308" t="s">
        <v>23</v>
      </c>
      <c r="F308">
        <v>13</v>
      </c>
      <c r="G308">
        <v>1504979</v>
      </c>
      <c r="H308" t="s">
        <v>18</v>
      </c>
      <c r="I308">
        <v>6</v>
      </c>
      <c r="J308" t="s">
        <v>20</v>
      </c>
      <c r="K308">
        <v>40</v>
      </c>
      <c r="L308">
        <v>1</v>
      </c>
      <c r="M308" t="s">
        <v>19</v>
      </c>
      <c r="N308" t="s">
        <v>20</v>
      </c>
    </row>
    <row r="309" spans="1:14">
      <c r="A309" t="s">
        <v>337</v>
      </c>
      <c r="B309">
        <v>43</v>
      </c>
      <c r="C309" t="s">
        <v>22</v>
      </c>
      <c r="D309" t="s">
        <v>27</v>
      </c>
      <c r="E309" t="s">
        <v>33</v>
      </c>
      <c r="F309">
        <v>17</v>
      </c>
      <c r="G309">
        <v>837582</v>
      </c>
      <c r="H309" t="s">
        <v>28</v>
      </c>
      <c r="I309">
        <v>9</v>
      </c>
      <c r="J309" t="s">
        <v>20</v>
      </c>
      <c r="K309">
        <v>2</v>
      </c>
      <c r="L309">
        <v>2</v>
      </c>
      <c r="M309" t="s">
        <v>19</v>
      </c>
      <c r="N309" t="s">
        <v>20</v>
      </c>
    </row>
    <row r="310" spans="1:14">
      <c r="A310" t="s">
        <v>338</v>
      </c>
      <c r="B310">
        <v>39</v>
      </c>
      <c r="C310" t="s">
        <v>22</v>
      </c>
      <c r="D310" t="s">
        <v>30</v>
      </c>
      <c r="E310" t="s">
        <v>17</v>
      </c>
      <c r="F310">
        <v>0</v>
      </c>
      <c r="G310">
        <v>1096418</v>
      </c>
      <c r="H310" t="s">
        <v>28</v>
      </c>
      <c r="I310">
        <v>3</v>
      </c>
      <c r="J310" t="s">
        <v>20</v>
      </c>
      <c r="K310">
        <v>16</v>
      </c>
      <c r="L310">
        <v>5</v>
      </c>
      <c r="M310" t="s">
        <v>20</v>
      </c>
      <c r="N310" t="s">
        <v>20</v>
      </c>
    </row>
    <row r="311" spans="1:14">
      <c r="A311" t="s">
        <v>339</v>
      </c>
      <c r="B311">
        <v>59</v>
      </c>
      <c r="C311" t="s">
        <v>22</v>
      </c>
      <c r="D311" t="s">
        <v>27</v>
      </c>
      <c r="E311" t="s">
        <v>17</v>
      </c>
      <c r="F311">
        <v>14</v>
      </c>
      <c r="G311">
        <v>1591767</v>
      </c>
      <c r="H311" t="s">
        <v>28</v>
      </c>
      <c r="I311">
        <v>2</v>
      </c>
      <c r="J311" t="s">
        <v>19</v>
      </c>
      <c r="K311">
        <v>7</v>
      </c>
      <c r="L311">
        <v>5</v>
      </c>
      <c r="M311" t="s">
        <v>20</v>
      </c>
      <c r="N311" t="s">
        <v>19</v>
      </c>
    </row>
    <row r="312" spans="1:14">
      <c r="A312" t="s">
        <v>340</v>
      </c>
      <c r="B312">
        <v>49</v>
      </c>
      <c r="C312" t="s">
        <v>15</v>
      </c>
      <c r="D312" t="s">
        <v>16</v>
      </c>
      <c r="E312" t="s">
        <v>17</v>
      </c>
      <c r="F312">
        <v>0</v>
      </c>
      <c r="G312">
        <v>1578589</v>
      </c>
      <c r="H312" t="s">
        <v>34</v>
      </c>
      <c r="I312">
        <v>10</v>
      </c>
      <c r="J312" t="s">
        <v>20</v>
      </c>
      <c r="K312">
        <v>18</v>
      </c>
      <c r="L312">
        <v>4</v>
      </c>
      <c r="M312" t="s">
        <v>20</v>
      </c>
      <c r="N312" t="s">
        <v>20</v>
      </c>
    </row>
    <row r="313" spans="1:14">
      <c r="A313" t="s">
        <v>341</v>
      </c>
      <c r="B313">
        <v>54</v>
      </c>
      <c r="C313" t="s">
        <v>22</v>
      </c>
      <c r="D313" t="s">
        <v>16</v>
      </c>
      <c r="E313" t="s">
        <v>23</v>
      </c>
      <c r="F313">
        <v>4</v>
      </c>
      <c r="G313">
        <v>754234</v>
      </c>
      <c r="H313" t="s">
        <v>34</v>
      </c>
      <c r="I313">
        <v>10</v>
      </c>
      <c r="J313" t="s">
        <v>20</v>
      </c>
      <c r="K313">
        <v>23</v>
      </c>
      <c r="L313">
        <v>5</v>
      </c>
      <c r="M313" t="s">
        <v>20</v>
      </c>
      <c r="N313" t="s">
        <v>20</v>
      </c>
    </row>
    <row r="314" spans="1:14">
      <c r="A314" t="s">
        <v>342</v>
      </c>
      <c r="B314">
        <v>50</v>
      </c>
      <c r="C314" t="s">
        <v>15</v>
      </c>
      <c r="D314" t="s">
        <v>30</v>
      </c>
      <c r="E314" t="s">
        <v>31</v>
      </c>
      <c r="F314">
        <v>6</v>
      </c>
      <c r="G314">
        <v>1041916</v>
      </c>
      <c r="H314" t="s">
        <v>18</v>
      </c>
      <c r="I314">
        <v>5</v>
      </c>
      <c r="J314" t="s">
        <v>19</v>
      </c>
      <c r="K314">
        <v>43</v>
      </c>
      <c r="L314">
        <v>5</v>
      </c>
      <c r="M314" t="s">
        <v>19</v>
      </c>
      <c r="N314" t="s">
        <v>20</v>
      </c>
    </row>
    <row r="315" spans="1:14">
      <c r="A315" t="s">
        <v>343</v>
      </c>
      <c r="B315">
        <v>48</v>
      </c>
      <c r="C315" t="s">
        <v>22</v>
      </c>
      <c r="D315" t="s">
        <v>16</v>
      </c>
      <c r="E315" t="s">
        <v>17</v>
      </c>
      <c r="F315">
        <v>18</v>
      </c>
      <c r="G315">
        <v>592712</v>
      </c>
      <c r="H315" t="s">
        <v>28</v>
      </c>
      <c r="I315">
        <v>1</v>
      </c>
      <c r="J315" t="s">
        <v>19</v>
      </c>
      <c r="K315">
        <v>3</v>
      </c>
      <c r="L315">
        <v>2</v>
      </c>
      <c r="M315" t="s">
        <v>20</v>
      </c>
      <c r="N315" t="s">
        <v>19</v>
      </c>
    </row>
    <row r="316" spans="1:14">
      <c r="A316" t="s">
        <v>344</v>
      </c>
      <c r="B316">
        <v>27</v>
      </c>
      <c r="C316" t="s">
        <v>15</v>
      </c>
      <c r="D316" t="s">
        <v>27</v>
      </c>
      <c r="E316" t="s">
        <v>31</v>
      </c>
      <c r="F316">
        <v>20</v>
      </c>
      <c r="G316">
        <v>1484375</v>
      </c>
      <c r="H316" t="s">
        <v>34</v>
      </c>
      <c r="I316">
        <v>3</v>
      </c>
      <c r="J316" t="s">
        <v>20</v>
      </c>
      <c r="K316">
        <v>54</v>
      </c>
      <c r="L316">
        <v>5</v>
      </c>
      <c r="M316" t="s">
        <v>19</v>
      </c>
      <c r="N316" t="s">
        <v>20</v>
      </c>
    </row>
    <row r="317" spans="1:14">
      <c r="A317" t="s">
        <v>345</v>
      </c>
      <c r="B317">
        <v>43</v>
      </c>
      <c r="C317" t="s">
        <v>22</v>
      </c>
      <c r="D317" t="s">
        <v>27</v>
      </c>
      <c r="E317" t="s">
        <v>33</v>
      </c>
      <c r="F317">
        <v>2</v>
      </c>
      <c r="G317">
        <v>1514459</v>
      </c>
      <c r="H317" t="s">
        <v>28</v>
      </c>
      <c r="I317">
        <v>5</v>
      </c>
      <c r="J317" t="s">
        <v>20</v>
      </c>
      <c r="K317">
        <v>58</v>
      </c>
      <c r="L317">
        <v>3</v>
      </c>
      <c r="M317" t="s">
        <v>19</v>
      </c>
      <c r="N317" t="s">
        <v>20</v>
      </c>
    </row>
    <row r="318" spans="1:14">
      <c r="A318" t="s">
        <v>346</v>
      </c>
      <c r="B318">
        <v>60</v>
      </c>
      <c r="C318" t="s">
        <v>22</v>
      </c>
      <c r="D318" t="s">
        <v>16</v>
      </c>
      <c r="E318" t="s">
        <v>33</v>
      </c>
      <c r="F318">
        <v>10</v>
      </c>
      <c r="G318">
        <v>1743335</v>
      </c>
      <c r="H318" t="s">
        <v>28</v>
      </c>
      <c r="I318">
        <v>7</v>
      </c>
      <c r="J318" t="s">
        <v>19</v>
      </c>
      <c r="K318">
        <v>17</v>
      </c>
      <c r="L318">
        <v>5</v>
      </c>
      <c r="M318" t="s">
        <v>19</v>
      </c>
      <c r="N318" t="s">
        <v>20</v>
      </c>
    </row>
    <row r="319" spans="1:14">
      <c r="A319" t="s">
        <v>347</v>
      </c>
      <c r="B319">
        <v>59</v>
      </c>
      <c r="C319" t="s">
        <v>22</v>
      </c>
      <c r="D319" t="s">
        <v>36</v>
      </c>
      <c r="E319" t="s">
        <v>23</v>
      </c>
      <c r="F319">
        <v>3</v>
      </c>
      <c r="G319">
        <v>452002</v>
      </c>
      <c r="H319" t="s">
        <v>18</v>
      </c>
      <c r="I319">
        <v>8</v>
      </c>
      <c r="J319" t="s">
        <v>20</v>
      </c>
      <c r="K319">
        <v>54</v>
      </c>
      <c r="L319">
        <v>5</v>
      </c>
      <c r="M319" t="s">
        <v>20</v>
      </c>
      <c r="N319" t="s">
        <v>20</v>
      </c>
    </row>
    <row r="320" spans="1:14">
      <c r="A320" t="s">
        <v>348</v>
      </c>
      <c r="B320">
        <v>26</v>
      </c>
      <c r="C320" t="s">
        <v>22</v>
      </c>
      <c r="D320" t="s">
        <v>30</v>
      </c>
      <c r="E320" t="s">
        <v>17</v>
      </c>
      <c r="F320">
        <v>1</v>
      </c>
      <c r="G320">
        <v>1640323</v>
      </c>
      <c r="H320" t="s">
        <v>34</v>
      </c>
      <c r="I320">
        <v>8</v>
      </c>
      <c r="J320" t="s">
        <v>20</v>
      </c>
      <c r="K320">
        <v>50</v>
      </c>
      <c r="L320">
        <v>1</v>
      </c>
      <c r="M320" t="s">
        <v>20</v>
      </c>
      <c r="N320" t="s">
        <v>20</v>
      </c>
    </row>
    <row r="321" spans="1:14">
      <c r="A321" t="s">
        <v>349</v>
      </c>
      <c r="B321">
        <v>54</v>
      </c>
      <c r="C321" t="s">
        <v>22</v>
      </c>
      <c r="D321" t="s">
        <v>36</v>
      </c>
      <c r="E321" t="s">
        <v>23</v>
      </c>
      <c r="F321">
        <v>17</v>
      </c>
      <c r="G321">
        <v>1392793</v>
      </c>
      <c r="H321" t="s">
        <v>28</v>
      </c>
      <c r="I321">
        <v>8</v>
      </c>
      <c r="J321" t="s">
        <v>20</v>
      </c>
      <c r="K321">
        <v>27</v>
      </c>
      <c r="L321">
        <v>5</v>
      </c>
      <c r="M321" t="s">
        <v>20</v>
      </c>
      <c r="N321" t="s">
        <v>20</v>
      </c>
    </row>
    <row r="322" spans="1:14">
      <c r="A322" t="s">
        <v>350</v>
      </c>
      <c r="B322">
        <v>56</v>
      </c>
      <c r="C322" t="s">
        <v>22</v>
      </c>
      <c r="D322" t="s">
        <v>36</v>
      </c>
      <c r="E322" t="s">
        <v>23</v>
      </c>
      <c r="F322">
        <v>13</v>
      </c>
      <c r="G322">
        <v>635714</v>
      </c>
      <c r="H322" t="s">
        <v>18</v>
      </c>
      <c r="I322">
        <v>3</v>
      </c>
      <c r="J322" t="s">
        <v>19</v>
      </c>
      <c r="K322">
        <v>18</v>
      </c>
      <c r="L322">
        <v>1</v>
      </c>
      <c r="M322" t="s">
        <v>19</v>
      </c>
      <c r="N322" t="s">
        <v>19</v>
      </c>
    </row>
    <row r="323" spans="1:14">
      <c r="A323" t="s">
        <v>351</v>
      </c>
      <c r="B323">
        <v>36</v>
      </c>
      <c r="C323" t="s">
        <v>22</v>
      </c>
      <c r="D323" t="s">
        <v>16</v>
      </c>
      <c r="E323" t="s">
        <v>23</v>
      </c>
      <c r="F323">
        <v>3</v>
      </c>
      <c r="G323">
        <v>1173908</v>
      </c>
      <c r="H323" t="s">
        <v>28</v>
      </c>
      <c r="I323">
        <v>4</v>
      </c>
      <c r="J323" t="s">
        <v>19</v>
      </c>
      <c r="K323">
        <v>15</v>
      </c>
      <c r="L323">
        <v>2</v>
      </c>
      <c r="M323" t="s">
        <v>19</v>
      </c>
      <c r="N323" t="s">
        <v>19</v>
      </c>
    </row>
    <row r="324" spans="1:14">
      <c r="A324" t="s">
        <v>352</v>
      </c>
      <c r="B324">
        <v>45</v>
      </c>
      <c r="C324" t="s">
        <v>22</v>
      </c>
      <c r="D324" t="s">
        <v>36</v>
      </c>
      <c r="E324" t="s">
        <v>17</v>
      </c>
      <c r="F324">
        <v>20</v>
      </c>
      <c r="G324">
        <v>277157</v>
      </c>
      <c r="H324" t="s">
        <v>28</v>
      </c>
      <c r="I324">
        <v>8</v>
      </c>
      <c r="J324" t="s">
        <v>20</v>
      </c>
      <c r="K324">
        <v>21</v>
      </c>
      <c r="L324">
        <v>1</v>
      </c>
      <c r="M324" t="s">
        <v>20</v>
      </c>
      <c r="N324" t="s">
        <v>20</v>
      </c>
    </row>
    <row r="325" spans="1:14">
      <c r="A325" t="s">
        <v>353</v>
      </c>
      <c r="B325">
        <v>43</v>
      </c>
      <c r="C325" t="s">
        <v>15</v>
      </c>
      <c r="D325" t="s">
        <v>25</v>
      </c>
      <c r="E325" t="s">
        <v>23</v>
      </c>
      <c r="F325">
        <v>6</v>
      </c>
      <c r="G325">
        <v>1628012</v>
      </c>
      <c r="H325" t="s">
        <v>34</v>
      </c>
      <c r="I325">
        <v>1</v>
      </c>
      <c r="J325" t="s">
        <v>20</v>
      </c>
      <c r="K325">
        <v>13</v>
      </c>
      <c r="L325">
        <v>2</v>
      </c>
      <c r="M325" t="s">
        <v>20</v>
      </c>
      <c r="N325" t="s">
        <v>20</v>
      </c>
    </row>
    <row r="326" spans="1:14">
      <c r="A326" t="s">
        <v>354</v>
      </c>
      <c r="B326">
        <v>39</v>
      </c>
      <c r="C326" t="s">
        <v>22</v>
      </c>
      <c r="D326" t="s">
        <v>36</v>
      </c>
      <c r="E326" t="s">
        <v>33</v>
      </c>
      <c r="F326">
        <v>4</v>
      </c>
      <c r="G326">
        <v>787927</v>
      </c>
      <c r="H326" t="s">
        <v>28</v>
      </c>
      <c r="I326">
        <v>1</v>
      </c>
      <c r="J326" t="s">
        <v>19</v>
      </c>
      <c r="K326">
        <v>36</v>
      </c>
      <c r="L326">
        <v>1</v>
      </c>
      <c r="M326" t="s">
        <v>20</v>
      </c>
      <c r="N326" t="s">
        <v>19</v>
      </c>
    </row>
    <row r="327" spans="1:14">
      <c r="A327" t="s">
        <v>355</v>
      </c>
      <c r="B327">
        <v>58</v>
      </c>
      <c r="C327" t="s">
        <v>22</v>
      </c>
      <c r="D327" t="s">
        <v>36</v>
      </c>
      <c r="E327" t="s">
        <v>23</v>
      </c>
      <c r="F327">
        <v>12</v>
      </c>
      <c r="G327">
        <v>1400206</v>
      </c>
      <c r="H327" t="s">
        <v>28</v>
      </c>
      <c r="I327">
        <v>10</v>
      </c>
      <c r="J327" t="s">
        <v>19</v>
      </c>
      <c r="K327">
        <v>8</v>
      </c>
      <c r="L327">
        <v>5</v>
      </c>
      <c r="M327" t="s">
        <v>20</v>
      </c>
      <c r="N327" t="s">
        <v>20</v>
      </c>
    </row>
    <row r="328" spans="1:14">
      <c r="A328" t="s">
        <v>356</v>
      </c>
      <c r="B328">
        <v>39</v>
      </c>
      <c r="C328" t="s">
        <v>22</v>
      </c>
      <c r="D328" t="s">
        <v>30</v>
      </c>
      <c r="E328" t="s">
        <v>17</v>
      </c>
      <c r="F328">
        <v>0</v>
      </c>
      <c r="G328">
        <v>1206910</v>
      </c>
      <c r="H328" t="s">
        <v>28</v>
      </c>
      <c r="I328">
        <v>8</v>
      </c>
      <c r="J328" t="s">
        <v>20</v>
      </c>
      <c r="K328">
        <v>32</v>
      </c>
      <c r="L328">
        <v>2</v>
      </c>
      <c r="M328" t="s">
        <v>20</v>
      </c>
      <c r="N328" t="s">
        <v>20</v>
      </c>
    </row>
    <row r="329" spans="1:14">
      <c r="A329" t="s">
        <v>357</v>
      </c>
      <c r="B329">
        <v>33</v>
      </c>
      <c r="C329" t="s">
        <v>15</v>
      </c>
      <c r="D329" t="s">
        <v>25</v>
      </c>
      <c r="E329" t="s">
        <v>31</v>
      </c>
      <c r="F329">
        <v>1</v>
      </c>
      <c r="G329">
        <v>323519</v>
      </c>
      <c r="H329" t="s">
        <v>28</v>
      </c>
      <c r="I329">
        <v>9</v>
      </c>
      <c r="J329" t="s">
        <v>20</v>
      </c>
      <c r="K329">
        <v>58</v>
      </c>
      <c r="L329">
        <v>2</v>
      </c>
      <c r="M329" t="s">
        <v>20</v>
      </c>
      <c r="N329" t="s">
        <v>20</v>
      </c>
    </row>
    <row r="330" spans="1:14">
      <c r="A330" t="s">
        <v>358</v>
      </c>
      <c r="B330">
        <v>30</v>
      </c>
      <c r="C330" t="s">
        <v>22</v>
      </c>
      <c r="D330" t="s">
        <v>27</v>
      </c>
      <c r="E330" t="s">
        <v>17</v>
      </c>
      <c r="F330">
        <v>15</v>
      </c>
      <c r="G330">
        <v>351602</v>
      </c>
      <c r="H330" t="s">
        <v>18</v>
      </c>
      <c r="I330">
        <v>10</v>
      </c>
      <c r="J330" t="s">
        <v>19</v>
      </c>
      <c r="K330">
        <v>6</v>
      </c>
      <c r="L330">
        <v>3</v>
      </c>
      <c r="M330" t="s">
        <v>19</v>
      </c>
      <c r="N330" t="s">
        <v>20</v>
      </c>
    </row>
    <row r="331" spans="1:14">
      <c r="A331" t="s">
        <v>359</v>
      </c>
      <c r="B331">
        <v>58</v>
      </c>
      <c r="C331" t="s">
        <v>15</v>
      </c>
      <c r="D331" t="s">
        <v>36</v>
      </c>
      <c r="E331" t="s">
        <v>33</v>
      </c>
      <c r="F331">
        <v>16</v>
      </c>
      <c r="G331">
        <v>1501564</v>
      </c>
      <c r="H331" t="s">
        <v>28</v>
      </c>
      <c r="I331">
        <v>3</v>
      </c>
      <c r="J331" t="s">
        <v>20</v>
      </c>
      <c r="K331">
        <v>49</v>
      </c>
      <c r="L331">
        <v>1</v>
      </c>
      <c r="M331" t="s">
        <v>20</v>
      </c>
      <c r="N331" t="s">
        <v>20</v>
      </c>
    </row>
    <row r="332" spans="1:14">
      <c r="A332" t="s">
        <v>360</v>
      </c>
      <c r="B332">
        <v>31</v>
      </c>
      <c r="C332" t="s">
        <v>15</v>
      </c>
      <c r="D332" t="s">
        <v>36</v>
      </c>
      <c r="E332" t="s">
        <v>17</v>
      </c>
      <c r="F332">
        <v>13</v>
      </c>
      <c r="G332">
        <v>1723459</v>
      </c>
      <c r="H332" t="s">
        <v>18</v>
      </c>
      <c r="I332">
        <v>2</v>
      </c>
      <c r="J332" t="s">
        <v>20</v>
      </c>
      <c r="K332">
        <v>50</v>
      </c>
      <c r="L332">
        <v>2</v>
      </c>
      <c r="M332" t="s">
        <v>20</v>
      </c>
      <c r="N332" t="s">
        <v>20</v>
      </c>
    </row>
    <row r="333" spans="1:14">
      <c r="A333" t="s">
        <v>361</v>
      </c>
      <c r="B333">
        <v>49</v>
      </c>
      <c r="C333" t="s">
        <v>15</v>
      </c>
      <c r="D333" t="s">
        <v>27</v>
      </c>
      <c r="E333" t="s">
        <v>33</v>
      </c>
      <c r="F333">
        <v>3</v>
      </c>
      <c r="G333">
        <v>528893</v>
      </c>
      <c r="H333" t="s">
        <v>28</v>
      </c>
      <c r="I333">
        <v>8</v>
      </c>
      <c r="J333" t="s">
        <v>20</v>
      </c>
      <c r="K333">
        <v>32</v>
      </c>
      <c r="L333">
        <v>3</v>
      </c>
      <c r="M333" t="s">
        <v>19</v>
      </c>
      <c r="N333" t="s">
        <v>20</v>
      </c>
    </row>
    <row r="334" spans="1:14">
      <c r="A334" t="s">
        <v>362</v>
      </c>
      <c r="B334">
        <v>28</v>
      </c>
      <c r="C334" t="s">
        <v>15</v>
      </c>
      <c r="D334" t="s">
        <v>30</v>
      </c>
      <c r="E334" t="s">
        <v>33</v>
      </c>
      <c r="F334">
        <v>5</v>
      </c>
      <c r="G334">
        <v>510609</v>
      </c>
      <c r="H334" t="s">
        <v>34</v>
      </c>
      <c r="I334">
        <v>8</v>
      </c>
      <c r="J334" t="s">
        <v>19</v>
      </c>
      <c r="K334">
        <v>36</v>
      </c>
      <c r="L334">
        <v>1</v>
      </c>
      <c r="M334" t="s">
        <v>20</v>
      </c>
      <c r="N334" t="s">
        <v>20</v>
      </c>
    </row>
    <row r="335" spans="1:14">
      <c r="A335" t="s">
        <v>363</v>
      </c>
      <c r="B335">
        <v>33</v>
      </c>
      <c r="C335" t="s">
        <v>15</v>
      </c>
      <c r="D335" t="s">
        <v>25</v>
      </c>
      <c r="E335" t="s">
        <v>31</v>
      </c>
      <c r="F335">
        <v>1</v>
      </c>
      <c r="G335">
        <v>1429552</v>
      </c>
      <c r="H335" t="s">
        <v>28</v>
      </c>
      <c r="I335">
        <v>7</v>
      </c>
      <c r="J335" t="s">
        <v>20</v>
      </c>
      <c r="K335">
        <v>31</v>
      </c>
      <c r="L335">
        <v>4</v>
      </c>
      <c r="M335" t="s">
        <v>20</v>
      </c>
      <c r="N335" t="s">
        <v>20</v>
      </c>
    </row>
    <row r="336" spans="1:14">
      <c r="A336" t="s">
        <v>364</v>
      </c>
      <c r="B336">
        <v>34</v>
      </c>
      <c r="C336" t="s">
        <v>22</v>
      </c>
      <c r="D336" t="s">
        <v>36</v>
      </c>
      <c r="E336" t="s">
        <v>33</v>
      </c>
      <c r="F336">
        <v>4</v>
      </c>
      <c r="G336">
        <v>512238</v>
      </c>
      <c r="H336" t="s">
        <v>28</v>
      </c>
      <c r="I336">
        <v>8</v>
      </c>
      <c r="J336" t="s">
        <v>19</v>
      </c>
      <c r="K336">
        <v>4</v>
      </c>
      <c r="L336">
        <v>3</v>
      </c>
      <c r="M336" t="s">
        <v>20</v>
      </c>
      <c r="N336" t="s">
        <v>20</v>
      </c>
    </row>
    <row r="337" spans="1:14">
      <c r="A337" t="s">
        <v>365</v>
      </c>
      <c r="B337">
        <v>41</v>
      </c>
      <c r="C337" t="s">
        <v>15</v>
      </c>
      <c r="D337" t="s">
        <v>25</v>
      </c>
      <c r="E337" t="s">
        <v>17</v>
      </c>
      <c r="F337">
        <v>16</v>
      </c>
      <c r="G337">
        <v>1792111</v>
      </c>
      <c r="H337" t="s">
        <v>34</v>
      </c>
      <c r="I337">
        <v>4</v>
      </c>
      <c r="J337" t="s">
        <v>20</v>
      </c>
      <c r="K337">
        <v>32</v>
      </c>
      <c r="L337">
        <v>3</v>
      </c>
      <c r="M337" t="s">
        <v>20</v>
      </c>
      <c r="N337" t="s">
        <v>20</v>
      </c>
    </row>
    <row r="338" spans="1:14">
      <c r="A338" t="s">
        <v>366</v>
      </c>
      <c r="B338">
        <v>22</v>
      </c>
      <c r="C338" t="s">
        <v>15</v>
      </c>
      <c r="D338" t="s">
        <v>16</v>
      </c>
      <c r="E338" t="s">
        <v>23</v>
      </c>
      <c r="F338">
        <v>10</v>
      </c>
      <c r="G338">
        <v>439978</v>
      </c>
      <c r="H338" t="s">
        <v>18</v>
      </c>
      <c r="I338">
        <v>5</v>
      </c>
      <c r="J338" t="s">
        <v>20</v>
      </c>
      <c r="K338">
        <v>40</v>
      </c>
      <c r="L338">
        <v>3</v>
      </c>
      <c r="M338" t="s">
        <v>19</v>
      </c>
      <c r="N338" t="s">
        <v>20</v>
      </c>
    </row>
    <row r="339" spans="1:14">
      <c r="A339" t="s">
        <v>367</v>
      </c>
      <c r="B339">
        <v>53</v>
      </c>
      <c r="C339" t="s">
        <v>15</v>
      </c>
      <c r="D339" t="s">
        <v>36</v>
      </c>
      <c r="E339" t="s">
        <v>31</v>
      </c>
      <c r="F339">
        <v>17</v>
      </c>
      <c r="G339">
        <v>643496</v>
      </c>
      <c r="H339" t="s">
        <v>18</v>
      </c>
      <c r="I339">
        <v>10</v>
      </c>
      <c r="J339" t="s">
        <v>20</v>
      </c>
      <c r="K339">
        <v>21</v>
      </c>
      <c r="L339">
        <v>1</v>
      </c>
      <c r="M339" t="s">
        <v>20</v>
      </c>
      <c r="N339" t="s">
        <v>20</v>
      </c>
    </row>
    <row r="340" spans="1:14">
      <c r="A340" t="s">
        <v>368</v>
      </c>
      <c r="B340">
        <v>45</v>
      </c>
      <c r="C340" t="s">
        <v>22</v>
      </c>
      <c r="D340" t="s">
        <v>36</v>
      </c>
      <c r="E340" t="s">
        <v>17</v>
      </c>
      <c r="F340">
        <v>14</v>
      </c>
      <c r="G340">
        <v>1340500</v>
      </c>
      <c r="H340" t="s">
        <v>34</v>
      </c>
      <c r="I340">
        <v>7</v>
      </c>
      <c r="J340" t="s">
        <v>19</v>
      </c>
      <c r="K340">
        <v>11</v>
      </c>
      <c r="L340">
        <v>5</v>
      </c>
      <c r="M340" t="s">
        <v>20</v>
      </c>
      <c r="N340" t="s">
        <v>20</v>
      </c>
    </row>
    <row r="341" spans="1:14">
      <c r="A341" t="s">
        <v>369</v>
      </c>
      <c r="B341">
        <v>29</v>
      </c>
      <c r="C341" t="s">
        <v>22</v>
      </c>
      <c r="D341" t="s">
        <v>36</v>
      </c>
      <c r="E341" t="s">
        <v>33</v>
      </c>
      <c r="F341">
        <v>11</v>
      </c>
      <c r="G341">
        <v>1056540</v>
      </c>
      <c r="H341" t="s">
        <v>34</v>
      </c>
      <c r="I341">
        <v>6</v>
      </c>
      <c r="J341" t="s">
        <v>20</v>
      </c>
      <c r="K341">
        <v>20</v>
      </c>
      <c r="L341">
        <v>3</v>
      </c>
      <c r="M341" t="s">
        <v>19</v>
      </c>
      <c r="N341" t="s">
        <v>20</v>
      </c>
    </row>
    <row r="342" spans="1:14">
      <c r="A342" t="s">
        <v>370</v>
      </c>
      <c r="B342">
        <v>30</v>
      </c>
      <c r="C342" t="s">
        <v>22</v>
      </c>
      <c r="D342" t="s">
        <v>27</v>
      </c>
      <c r="E342" t="s">
        <v>33</v>
      </c>
      <c r="F342">
        <v>5</v>
      </c>
      <c r="G342">
        <v>1212279</v>
      </c>
      <c r="H342" t="s">
        <v>28</v>
      </c>
      <c r="I342">
        <v>9</v>
      </c>
      <c r="J342" t="s">
        <v>19</v>
      </c>
      <c r="K342">
        <v>59</v>
      </c>
      <c r="L342">
        <v>1</v>
      </c>
      <c r="M342" t="s">
        <v>19</v>
      </c>
      <c r="N342" t="s">
        <v>20</v>
      </c>
    </row>
    <row r="343" spans="1:14">
      <c r="A343" t="s">
        <v>371</v>
      </c>
      <c r="B343">
        <v>44</v>
      </c>
      <c r="C343" t="s">
        <v>15</v>
      </c>
      <c r="D343" t="s">
        <v>16</v>
      </c>
      <c r="E343" t="s">
        <v>31</v>
      </c>
      <c r="F343">
        <v>7</v>
      </c>
      <c r="G343">
        <v>368590</v>
      </c>
      <c r="H343" t="s">
        <v>28</v>
      </c>
      <c r="I343">
        <v>8</v>
      </c>
      <c r="J343" t="s">
        <v>20</v>
      </c>
      <c r="K343">
        <v>44</v>
      </c>
      <c r="L343">
        <v>3</v>
      </c>
      <c r="M343" t="s">
        <v>20</v>
      </c>
      <c r="N343" t="s">
        <v>20</v>
      </c>
    </row>
    <row r="344" spans="1:14">
      <c r="A344" t="s">
        <v>372</v>
      </c>
      <c r="B344">
        <v>45</v>
      </c>
      <c r="C344" t="s">
        <v>22</v>
      </c>
      <c r="D344" t="s">
        <v>16</v>
      </c>
      <c r="E344" t="s">
        <v>33</v>
      </c>
      <c r="F344">
        <v>14</v>
      </c>
      <c r="G344">
        <v>1050090</v>
      </c>
      <c r="H344" t="s">
        <v>34</v>
      </c>
      <c r="I344">
        <v>5</v>
      </c>
      <c r="J344" t="s">
        <v>19</v>
      </c>
      <c r="K344">
        <v>8</v>
      </c>
      <c r="L344">
        <v>1</v>
      </c>
      <c r="M344" t="s">
        <v>20</v>
      </c>
      <c r="N344" t="s">
        <v>20</v>
      </c>
    </row>
    <row r="345" spans="1:14">
      <c r="A345" t="s">
        <v>373</v>
      </c>
      <c r="B345">
        <v>25</v>
      </c>
      <c r="C345" t="s">
        <v>15</v>
      </c>
      <c r="D345" t="s">
        <v>27</v>
      </c>
      <c r="E345" t="s">
        <v>17</v>
      </c>
      <c r="F345">
        <v>1</v>
      </c>
      <c r="G345">
        <v>710390</v>
      </c>
      <c r="H345" t="s">
        <v>34</v>
      </c>
      <c r="I345">
        <v>8</v>
      </c>
      <c r="J345" t="s">
        <v>20</v>
      </c>
      <c r="K345">
        <v>31</v>
      </c>
      <c r="L345">
        <v>4</v>
      </c>
      <c r="M345" t="s">
        <v>20</v>
      </c>
      <c r="N345" t="s">
        <v>20</v>
      </c>
    </row>
    <row r="346" spans="1:14">
      <c r="A346" t="s">
        <v>374</v>
      </c>
      <c r="B346">
        <v>58</v>
      </c>
      <c r="C346" t="s">
        <v>15</v>
      </c>
      <c r="D346" t="s">
        <v>16</v>
      </c>
      <c r="E346" t="s">
        <v>33</v>
      </c>
      <c r="F346">
        <v>6</v>
      </c>
      <c r="G346">
        <v>773988</v>
      </c>
      <c r="H346" t="s">
        <v>28</v>
      </c>
      <c r="I346">
        <v>1</v>
      </c>
      <c r="J346" t="s">
        <v>20</v>
      </c>
      <c r="K346">
        <v>27</v>
      </c>
      <c r="L346">
        <v>4</v>
      </c>
      <c r="M346" t="s">
        <v>20</v>
      </c>
      <c r="N346" t="s">
        <v>20</v>
      </c>
    </row>
    <row r="347" spans="1:14">
      <c r="A347" t="s">
        <v>375</v>
      </c>
      <c r="B347">
        <v>45</v>
      </c>
      <c r="C347" t="s">
        <v>22</v>
      </c>
      <c r="D347" t="s">
        <v>36</v>
      </c>
      <c r="E347" t="s">
        <v>17</v>
      </c>
      <c r="F347">
        <v>4</v>
      </c>
      <c r="G347">
        <v>1281686</v>
      </c>
      <c r="H347" t="s">
        <v>18</v>
      </c>
      <c r="I347">
        <v>9</v>
      </c>
      <c r="J347" t="s">
        <v>20</v>
      </c>
      <c r="K347">
        <v>25</v>
      </c>
      <c r="L347">
        <v>1</v>
      </c>
      <c r="M347" t="s">
        <v>20</v>
      </c>
      <c r="N347" t="s">
        <v>20</v>
      </c>
    </row>
    <row r="348" spans="1:14">
      <c r="A348" t="s">
        <v>376</v>
      </c>
      <c r="B348">
        <v>29</v>
      </c>
      <c r="C348" t="s">
        <v>22</v>
      </c>
      <c r="D348" t="s">
        <v>36</v>
      </c>
      <c r="E348" t="s">
        <v>17</v>
      </c>
      <c r="F348">
        <v>5</v>
      </c>
      <c r="G348">
        <v>761446</v>
      </c>
      <c r="H348" t="s">
        <v>28</v>
      </c>
      <c r="I348">
        <v>3</v>
      </c>
      <c r="J348" t="s">
        <v>20</v>
      </c>
      <c r="K348">
        <v>45</v>
      </c>
      <c r="L348">
        <v>1</v>
      </c>
      <c r="M348" t="s">
        <v>19</v>
      </c>
      <c r="N348" t="s">
        <v>20</v>
      </c>
    </row>
    <row r="349" spans="1:14">
      <c r="A349" t="s">
        <v>377</v>
      </c>
      <c r="B349">
        <v>53</v>
      </c>
      <c r="C349" t="s">
        <v>22</v>
      </c>
      <c r="D349" t="s">
        <v>27</v>
      </c>
      <c r="E349" t="s">
        <v>23</v>
      </c>
      <c r="F349">
        <v>8</v>
      </c>
      <c r="G349">
        <v>657496</v>
      </c>
      <c r="H349" t="s">
        <v>18</v>
      </c>
      <c r="I349">
        <v>10</v>
      </c>
      <c r="J349" t="s">
        <v>20</v>
      </c>
      <c r="K349">
        <v>34</v>
      </c>
      <c r="L349">
        <v>2</v>
      </c>
      <c r="M349" t="s">
        <v>19</v>
      </c>
      <c r="N349" t="s">
        <v>20</v>
      </c>
    </row>
    <row r="350" spans="1:14">
      <c r="A350" t="s">
        <v>378</v>
      </c>
      <c r="B350">
        <v>54</v>
      </c>
      <c r="C350" t="s">
        <v>22</v>
      </c>
      <c r="D350" t="s">
        <v>25</v>
      </c>
      <c r="E350" t="s">
        <v>31</v>
      </c>
      <c r="F350">
        <v>16</v>
      </c>
      <c r="G350">
        <v>724864</v>
      </c>
      <c r="H350" t="s">
        <v>28</v>
      </c>
      <c r="I350">
        <v>8</v>
      </c>
      <c r="J350" t="s">
        <v>19</v>
      </c>
      <c r="K350">
        <v>16</v>
      </c>
      <c r="L350">
        <v>4</v>
      </c>
      <c r="M350" t="s">
        <v>20</v>
      </c>
      <c r="N350" t="s">
        <v>20</v>
      </c>
    </row>
    <row r="351" spans="1:14">
      <c r="A351" t="s">
        <v>379</v>
      </c>
      <c r="B351">
        <v>29</v>
      </c>
      <c r="C351" t="s">
        <v>22</v>
      </c>
      <c r="D351" t="s">
        <v>16</v>
      </c>
      <c r="E351" t="s">
        <v>23</v>
      </c>
      <c r="F351">
        <v>3</v>
      </c>
      <c r="G351">
        <v>1136888</v>
      </c>
      <c r="H351" t="s">
        <v>34</v>
      </c>
      <c r="I351">
        <v>3</v>
      </c>
      <c r="J351" t="s">
        <v>19</v>
      </c>
      <c r="K351">
        <v>3</v>
      </c>
      <c r="L351">
        <v>3</v>
      </c>
      <c r="M351" t="s">
        <v>20</v>
      </c>
      <c r="N351" t="s">
        <v>19</v>
      </c>
    </row>
    <row r="352" spans="1:14">
      <c r="A352" t="s">
        <v>380</v>
      </c>
      <c r="B352">
        <v>49</v>
      </c>
      <c r="C352" t="s">
        <v>22</v>
      </c>
      <c r="D352" t="s">
        <v>36</v>
      </c>
      <c r="E352" t="s">
        <v>17</v>
      </c>
      <c r="F352">
        <v>19</v>
      </c>
      <c r="G352">
        <v>509567</v>
      </c>
      <c r="H352" t="s">
        <v>18</v>
      </c>
      <c r="I352">
        <v>6</v>
      </c>
      <c r="J352" t="s">
        <v>19</v>
      </c>
      <c r="K352">
        <v>45</v>
      </c>
      <c r="L352">
        <v>2</v>
      </c>
      <c r="M352" t="s">
        <v>19</v>
      </c>
      <c r="N352" t="s">
        <v>20</v>
      </c>
    </row>
    <row r="353" spans="1:14">
      <c r="A353" t="s">
        <v>381</v>
      </c>
      <c r="B353">
        <v>59</v>
      </c>
      <c r="C353" t="s">
        <v>22</v>
      </c>
      <c r="D353" t="s">
        <v>16</v>
      </c>
      <c r="E353" t="s">
        <v>17</v>
      </c>
      <c r="F353">
        <v>11</v>
      </c>
      <c r="G353">
        <v>636958</v>
      </c>
      <c r="H353" t="s">
        <v>28</v>
      </c>
      <c r="I353">
        <v>1</v>
      </c>
      <c r="J353" t="s">
        <v>19</v>
      </c>
      <c r="K353">
        <v>58</v>
      </c>
      <c r="L353">
        <v>4</v>
      </c>
      <c r="M353" t="s">
        <v>20</v>
      </c>
      <c r="N353" t="s">
        <v>19</v>
      </c>
    </row>
    <row r="354" spans="1:14">
      <c r="A354" t="s">
        <v>382</v>
      </c>
      <c r="B354">
        <v>47</v>
      </c>
      <c r="C354" t="s">
        <v>22</v>
      </c>
      <c r="D354" t="s">
        <v>25</v>
      </c>
      <c r="E354" t="s">
        <v>31</v>
      </c>
      <c r="F354">
        <v>8</v>
      </c>
      <c r="G354">
        <v>465529</v>
      </c>
      <c r="H354" t="s">
        <v>28</v>
      </c>
      <c r="I354">
        <v>7</v>
      </c>
      <c r="J354" t="s">
        <v>19</v>
      </c>
      <c r="K354">
        <v>45</v>
      </c>
      <c r="L354">
        <v>1</v>
      </c>
      <c r="M354" t="s">
        <v>19</v>
      </c>
      <c r="N354" t="s">
        <v>20</v>
      </c>
    </row>
    <row r="355" spans="1:14">
      <c r="A355" t="s">
        <v>383</v>
      </c>
      <c r="B355">
        <v>25</v>
      </c>
      <c r="C355" t="s">
        <v>15</v>
      </c>
      <c r="D355" t="s">
        <v>25</v>
      </c>
      <c r="E355" t="s">
        <v>17</v>
      </c>
      <c r="F355">
        <v>20</v>
      </c>
      <c r="G355">
        <v>902111</v>
      </c>
      <c r="H355" t="s">
        <v>18</v>
      </c>
      <c r="I355">
        <v>4</v>
      </c>
      <c r="J355" t="s">
        <v>20</v>
      </c>
      <c r="K355">
        <v>39</v>
      </c>
      <c r="L355">
        <v>3</v>
      </c>
      <c r="M355" t="s">
        <v>20</v>
      </c>
      <c r="N355" t="s">
        <v>20</v>
      </c>
    </row>
    <row r="356" spans="1:14">
      <c r="A356" t="s">
        <v>384</v>
      </c>
      <c r="B356">
        <v>48</v>
      </c>
      <c r="C356" t="s">
        <v>22</v>
      </c>
      <c r="D356" t="s">
        <v>36</v>
      </c>
      <c r="E356" t="s">
        <v>31</v>
      </c>
      <c r="F356">
        <v>5</v>
      </c>
      <c r="G356">
        <v>617389</v>
      </c>
      <c r="H356" t="s">
        <v>18</v>
      </c>
      <c r="I356">
        <v>3</v>
      </c>
      <c r="J356" t="s">
        <v>20</v>
      </c>
      <c r="K356">
        <v>9</v>
      </c>
      <c r="L356">
        <v>1</v>
      </c>
      <c r="M356" t="s">
        <v>20</v>
      </c>
      <c r="N356" t="s">
        <v>20</v>
      </c>
    </row>
    <row r="357" spans="1:14">
      <c r="A357" t="s">
        <v>385</v>
      </c>
      <c r="B357">
        <v>41</v>
      </c>
      <c r="C357" t="s">
        <v>15</v>
      </c>
      <c r="D357" t="s">
        <v>25</v>
      </c>
      <c r="E357" t="s">
        <v>17</v>
      </c>
      <c r="F357">
        <v>17</v>
      </c>
      <c r="G357">
        <v>1176336</v>
      </c>
      <c r="H357" t="s">
        <v>34</v>
      </c>
      <c r="I357">
        <v>2</v>
      </c>
      <c r="J357" t="s">
        <v>19</v>
      </c>
      <c r="K357">
        <v>50</v>
      </c>
      <c r="L357">
        <v>1</v>
      </c>
      <c r="M357" t="s">
        <v>20</v>
      </c>
      <c r="N357" t="s">
        <v>19</v>
      </c>
    </row>
    <row r="358" spans="1:14">
      <c r="A358" t="s">
        <v>386</v>
      </c>
      <c r="B358">
        <v>43</v>
      </c>
      <c r="C358" t="s">
        <v>22</v>
      </c>
      <c r="D358" t="s">
        <v>27</v>
      </c>
      <c r="E358" t="s">
        <v>17</v>
      </c>
      <c r="F358">
        <v>10</v>
      </c>
      <c r="G358">
        <v>677741</v>
      </c>
      <c r="H358" t="s">
        <v>28</v>
      </c>
      <c r="I358">
        <v>4</v>
      </c>
      <c r="J358" t="s">
        <v>20</v>
      </c>
      <c r="K358">
        <v>59</v>
      </c>
      <c r="L358">
        <v>2</v>
      </c>
      <c r="M358" t="s">
        <v>19</v>
      </c>
      <c r="N358" t="s">
        <v>20</v>
      </c>
    </row>
    <row r="359" spans="1:14">
      <c r="A359" t="s">
        <v>387</v>
      </c>
      <c r="B359">
        <v>46</v>
      </c>
      <c r="C359" t="s">
        <v>22</v>
      </c>
      <c r="D359" t="s">
        <v>25</v>
      </c>
      <c r="E359" t="s">
        <v>33</v>
      </c>
      <c r="F359">
        <v>20</v>
      </c>
      <c r="G359">
        <v>1616376</v>
      </c>
      <c r="H359" t="s">
        <v>34</v>
      </c>
      <c r="I359">
        <v>2</v>
      </c>
      <c r="J359" t="s">
        <v>20</v>
      </c>
      <c r="K359">
        <v>35</v>
      </c>
      <c r="L359">
        <v>2</v>
      </c>
      <c r="M359" t="s">
        <v>20</v>
      </c>
      <c r="N359" t="s">
        <v>20</v>
      </c>
    </row>
    <row r="360" spans="1:14">
      <c r="A360" t="s">
        <v>388</v>
      </c>
      <c r="B360">
        <v>38</v>
      </c>
      <c r="C360" t="s">
        <v>22</v>
      </c>
      <c r="D360" t="s">
        <v>30</v>
      </c>
      <c r="E360" t="s">
        <v>17</v>
      </c>
      <c r="F360">
        <v>17</v>
      </c>
      <c r="G360">
        <v>950533</v>
      </c>
      <c r="H360" t="s">
        <v>28</v>
      </c>
      <c r="I360">
        <v>10</v>
      </c>
      <c r="J360" t="s">
        <v>20</v>
      </c>
      <c r="K360">
        <v>54</v>
      </c>
      <c r="L360">
        <v>5</v>
      </c>
      <c r="M360" t="s">
        <v>20</v>
      </c>
      <c r="N360" t="s">
        <v>20</v>
      </c>
    </row>
    <row r="361" spans="1:14">
      <c r="A361" t="s">
        <v>389</v>
      </c>
      <c r="B361">
        <v>50</v>
      </c>
      <c r="C361" t="s">
        <v>22</v>
      </c>
      <c r="D361" t="s">
        <v>30</v>
      </c>
      <c r="E361" t="s">
        <v>17</v>
      </c>
      <c r="F361">
        <v>20</v>
      </c>
      <c r="G361">
        <v>374471</v>
      </c>
      <c r="H361" t="s">
        <v>28</v>
      </c>
      <c r="I361">
        <v>6</v>
      </c>
      <c r="J361" t="s">
        <v>20</v>
      </c>
      <c r="K361">
        <v>38</v>
      </c>
      <c r="L361">
        <v>1</v>
      </c>
      <c r="M361" t="s">
        <v>19</v>
      </c>
      <c r="N361" t="s">
        <v>20</v>
      </c>
    </row>
    <row r="362" spans="1:14">
      <c r="A362" t="s">
        <v>390</v>
      </c>
      <c r="B362">
        <v>54</v>
      </c>
      <c r="C362" t="s">
        <v>15</v>
      </c>
      <c r="D362" t="s">
        <v>27</v>
      </c>
      <c r="E362" t="s">
        <v>17</v>
      </c>
      <c r="F362">
        <v>11</v>
      </c>
      <c r="G362">
        <v>1748284</v>
      </c>
      <c r="H362" t="s">
        <v>28</v>
      </c>
      <c r="I362">
        <v>10</v>
      </c>
      <c r="J362" t="s">
        <v>19</v>
      </c>
      <c r="K362">
        <v>21</v>
      </c>
      <c r="L362">
        <v>4</v>
      </c>
      <c r="M362" t="s">
        <v>20</v>
      </c>
      <c r="N362" t="s">
        <v>20</v>
      </c>
    </row>
    <row r="363" spans="1:14">
      <c r="A363" t="s">
        <v>391</v>
      </c>
      <c r="B363">
        <v>42</v>
      </c>
      <c r="C363" t="s">
        <v>15</v>
      </c>
      <c r="D363" t="s">
        <v>16</v>
      </c>
      <c r="E363" t="s">
        <v>17</v>
      </c>
      <c r="F363">
        <v>13</v>
      </c>
      <c r="G363">
        <v>435044</v>
      </c>
      <c r="H363" t="s">
        <v>28</v>
      </c>
      <c r="I363">
        <v>1</v>
      </c>
      <c r="J363" t="s">
        <v>20</v>
      </c>
      <c r="K363">
        <v>3</v>
      </c>
      <c r="L363">
        <v>3</v>
      </c>
      <c r="M363" t="s">
        <v>20</v>
      </c>
      <c r="N363" t="s">
        <v>20</v>
      </c>
    </row>
    <row r="364" spans="1:14">
      <c r="A364" t="s">
        <v>392</v>
      </c>
      <c r="B364">
        <v>44</v>
      </c>
      <c r="C364" t="s">
        <v>22</v>
      </c>
      <c r="D364" t="s">
        <v>36</v>
      </c>
      <c r="E364" t="s">
        <v>23</v>
      </c>
      <c r="F364">
        <v>20</v>
      </c>
      <c r="G364">
        <v>1702771</v>
      </c>
      <c r="H364" t="s">
        <v>34</v>
      </c>
      <c r="I364">
        <v>3</v>
      </c>
      <c r="J364" t="s">
        <v>20</v>
      </c>
      <c r="K364">
        <v>31</v>
      </c>
      <c r="L364">
        <v>1</v>
      </c>
      <c r="M364" t="s">
        <v>20</v>
      </c>
      <c r="N364" t="s">
        <v>20</v>
      </c>
    </row>
    <row r="365" spans="1:14">
      <c r="A365" t="s">
        <v>393</v>
      </c>
      <c r="B365">
        <v>37</v>
      </c>
      <c r="C365" t="s">
        <v>15</v>
      </c>
      <c r="D365" t="s">
        <v>25</v>
      </c>
      <c r="E365" t="s">
        <v>17</v>
      </c>
      <c r="F365">
        <v>9</v>
      </c>
      <c r="G365">
        <v>1305700</v>
      </c>
      <c r="H365" t="s">
        <v>18</v>
      </c>
      <c r="I365">
        <v>8</v>
      </c>
      <c r="J365" t="s">
        <v>20</v>
      </c>
      <c r="K365">
        <v>35</v>
      </c>
      <c r="L365">
        <v>5</v>
      </c>
      <c r="M365" t="s">
        <v>20</v>
      </c>
      <c r="N365" t="s">
        <v>20</v>
      </c>
    </row>
    <row r="366" spans="1:14">
      <c r="A366" t="s">
        <v>394</v>
      </c>
      <c r="B366">
        <v>35</v>
      </c>
      <c r="C366" t="s">
        <v>15</v>
      </c>
      <c r="D366" t="s">
        <v>27</v>
      </c>
      <c r="E366" t="s">
        <v>23</v>
      </c>
      <c r="F366">
        <v>19</v>
      </c>
      <c r="G366">
        <v>732364</v>
      </c>
      <c r="H366" t="s">
        <v>28</v>
      </c>
      <c r="I366">
        <v>8</v>
      </c>
      <c r="J366" t="s">
        <v>20</v>
      </c>
      <c r="K366">
        <v>35</v>
      </c>
      <c r="L366">
        <v>4</v>
      </c>
      <c r="M366" t="s">
        <v>20</v>
      </c>
      <c r="N366" t="s">
        <v>20</v>
      </c>
    </row>
    <row r="367" spans="1:14">
      <c r="A367" t="s">
        <v>395</v>
      </c>
      <c r="B367">
        <v>49</v>
      </c>
      <c r="C367" t="s">
        <v>15</v>
      </c>
      <c r="D367" t="s">
        <v>27</v>
      </c>
      <c r="E367" t="s">
        <v>23</v>
      </c>
      <c r="F367">
        <v>7</v>
      </c>
      <c r="G367">
        <v>662301</v>
      </c>
      <c r="H367" t="s">
        <v>28</v>
      </c>
      <c r="I367">
        <v>8</v>
      </c>
      <c r="J367" t="s">
        <v>19</v>
      </c>
      <c r="K367">
        <v>18</v>
      </c>
      <c r="L367">
        <v>1</v>
      </c>
      <c r="M367" t="s">
        <v>19</v>
      </c>
      <c r="N367" t="s">
        <v>20</v>
      </c>
    </row>
    <row r="368" spans="1:14">
      <c r="A368" t="s">
        <v>396</v>
      </c>
      <c r="B368">
        <v>36</v>
      </c>
      <c r="C368" t="s">
        <v>22</v>
      </c>
      <c r="D368" t="s">
        <v>16</v>
      </c>
      <c r="E368" t="s">
        <v>17</v>
      </c>
      <c r="F368">
        <v>1</v>
      </c>
      <c r="G368">
        <v>1243717</v>
      </c>
      <c r="H368" t="s">
        <v>28</v>
      </c>
      <c r="I368">
        <v>10</v>
      </c>
      <c r="J368" t="s">
        <v>19</v>
      </c>
      <c r="K368">
        <v>3</v>
      </c>
      <c r="L368">
        <v>4</v>
      </c>
      <c r="M368" t="s">
        <v>19</v>
      </c>
      <c r="N368" t="s">
        <v>19</v>
      </c>
    </row>
    <row r="369" spans="1:14">
      <c r="A369" t="s">
        <v>397</v>
      </c>
      <c r="B369">
        <v>51</v>
      </c>
      <c r="C369" t="s">
        <v>22</v>
      </c>
      <c r="D369" t="s">
        <v>27</v>
      </c>
      <c r="E369" t="s">
        <v>17</v>
      </c>
      <c r="F369">
        <v>7</v>
      </c>
      <c r="G369">
        <v>518124</v>
      </c>
      <c r="H369" t="s">
        <v>28</v>
      </c>
      <c r="I369">
        <v>6</v>
      </c>
      <c r="J369" t="s">
        <v>20</v>
      </c>
      <c r="K369">
        <v>19</v>
      </c>
      <c r="L369">
        <v>2</v>
      </c>
      <c r="M369" t="s">
        <v>20</v>
      </c>
      <c r="N369" t="s">
        <v>20</v>
      </c>
    </row>
    <row r="370" spans="1:14">
      <c r="A370" t="s">
        <v>398</v>
      </c>
      <c r="B370">
        <v>59</v>
      </c>
      <c r="C370" t="s">
        <v>22</v>
      </c>
      <c r="D370" t="s">
        <v>30</v>
      </c>
      <c r="E370" t="s">
        <v>23</v>
      </c>
      <c r="F370">
        <v>0</v>
      </c>
      <c r="G370">
        <v>1067209</v>
      </c>
      <c r="H370" t="s">
        <v>34</v>
      </c>
      <c r="I370">
        <v>3</v>
      </c>
      <c r="J370" t="s">
        <v>20</v>
      </c>
      <c r="K370">
        <v>28</v>
      </c>
      <c r="L370">
        <v>2</v>
      </c>
      <c r="M370" t="s">
        <v>19</v>
      </c>
      <c r="N370" t="s">
        <v>20</v>
      </c>
    </row>
    <row r="371" spans="1:14">
      <c r="A371" t="s">
        <v>399</v>
      </c>
      <c r="B371">
        <v>42</v>
      </c>
      <c r="C371" t="s">
        <v>22</v>
      </c>
      <c r="D371" t="s">
        <v>30</v>
      </c>
      <c r="E371" t="s">
        <v>23</v>
      </c>
      <c r="F371">
        <v>12</v>
      </c>
      <c r="G371">
        <v>1560661</v>
      </c>
      <c r="H371" t="s">
        <v>34</v>
      </c>
      <c r="I371">
        <v>7</v>
      </c>
      <c r="J371" t="s">
        <v>20</v>
      </c>
      <c r="K371">
        <v>24</v>
      </c>
      <c r="L371">
        <v>5</v>
      </c>
      <c r="M371" t="s">
        <v>20</v>
      </c>
      <c r="N371" t="s">
        <v>20</v>
      </c>
    </row>
    <row r="372" spans="1:14">
      <c r="A372" t="s">
        <v>400</v>
      </c>
      <c r="B372">
        <v>60</v>
      </c>
      <c r="C372" t="s">
        <v>15</v>
      </c>
      <c r="D372" t="s">
        <v>30</v>
      </c>
      <c r="E372" t="s">
        <v>33</v>
      </c>
      <c r="F372">
        <v>10</v>
      </c>
      <c r="G372">
        <v>511706</v>
      </c>
      <c r="H372" t="s">
        <v>18</v>
      </c>
      <c r="I372">
        <v>9</v>
      </c>
      <c r="J372" t="s">
        <v>20</v>
      </c>
      <c r="K372">
        <v>16</v>
      </c>
      <c r="L372">
        <v>5</v>
      </c>
      <c r="M372" t="s">
        <v>20</v>
      </c>
      <c r="N372" t="s">
        <v>20</v>
      </c>
    </row>
    <row r="373" spans="1:14">
      <c r="A373" t="s">
        <v>401</v>
      </c>
      <c r="B373">
        <v>58</v>
      </c>
      <c r="C373" t="s">
        <v>22</v>
      </c>
      <c r="D373" t="s">
        <v>30</v>
      </c>
      <c r="E373" t="s">
        <v>33</v>
      </c>
      <c r="F373">
        <v>13</v>
      </c>
      <c r="G373">
        <v>1267889</v>
      </c>
      <c r="H373" t="s">
        <v>34</v>
      </c>
      <c r="I373">
        <v>7</v>
      </c>
      <c r="J373" t="s">
        <v>20</v>
      </c>
      <c r="K373">
        <v>58</v>
      </c>
      <c r="L373">
        <v>1</v>
      </c>
      <c r="M373" t="s">
        <v>20</v>
      </c>
      <c r="N373" t="s">
        <v>20</v>
      </c>
    </row>
    <row r="374" spans="1:14">
      <c r="A374" t="s">
        <v>402</v>
      </c>
      <c r="B374">
        <v>38</v>
      </c>
      <c r="C374" t="s">
        <v>15</v>
      </c>
      <c r="D374" t="s">
        <v>27</v>
      </c>
      <c r="E374" t="s">
        <v>31</v>
      </c>
      <c r="F374">
        <v>18</v>
      </c>
      <c r="G374">
        <v>1556313</v>
      </c>
      <c r="H374" t="s">
        <v>28</v>
      </c>
      <c r="I374">
        <v>6</v>
      </c>
      <c r="J374" t="s">
        <v>19</v>
      </c>
      <c r="K374">
        <v>23</v>
      </c>
      <c r="L374">
        <v>1</v>
      </c>
      <c r="M374" t="s">
        <v>19</v>
      </c>
      <c r="N374" t="s">
        <v>20</v>
      </c>
    </row>
    <row r="375" spans="1:14">
      <c r="A375" t="s">
        <v>403</v>
      </c>
      <c r="B375">
        <v>23</v>
      </c>
      <c r="C375" t="s">
        <v>22</v>
      </c>
      <c r="D375" t="s">
        <v>36</v>
      </c>
      <c r="E375" t="s">
        <v>33</v>
      </c>
      <c r="F375">
        <v>9</v>
      </c>
      <c r="G375">
        <v>530709</v>
      </c>
      <c r="H375" t="s">
        <v>34</v>
      </c>
      <c r="I375">
        <v>8</v>
      </c>
      <c r="J375" t="s">
        <v>20</v>
      </c>
      <c r="K375">
        <v>47</v>
      </c>
      <c r="L375">
        <v>2</v>
      </c>
      <c r="M375" t="s">
        <v>19</v>
      </c>
      <c r="N375" t="s">
        <v>20</v>
      </c>
    </row>
    <row r="376" spans="1:14">
      <c r="A376" t="s">
        <v>404</v>
      </c>
      <c r="B376">
        <v>28</v>
      </c>
      <c r="C376" t="s">
        <v>15</v>
      </c>
      <c r="D376" t="s">
        <v>25</v>
      </c>
      <c r="E376" t="s">
        <v>17</v>
      </c>
      <c r="F376">
        <v>5</v>
      </c>
      <c r="G376">
        <v>911502</v>
      </c>
      <c r="H376" t="s">
        <v>18</v>
      </c>
      <c r="I376">
        <v>3</v>
      </c>
      <c r="J376" t="s">
        <v>19</v>
      </c>
      <c r="K376">
        <v>23</v>
      </c>
      <c r="L376">
        <v>4</v>
      </c>
      <c r="M376" t="s">
        <v>20</v>
      </c>
      <c r="N376" t="s">
        <v>19</v>
      </c>
    </row>
    <row r="377" spans="1:14">
      <c r="A377" t="s">
        <v>405</v>
      </c>
      <c r="B377">
        <v>25</v>
      </c>
      <c r="C377" t="s">
        <v>15</v>
      </c>
      <c r="D377" t="s">
        <v>36</v>
      </c>
      <c r="E377" t="s">
        <v>17</v>
      </c>
      <c r="F377">
        <v>4</v>
      </c>
      <c r="G377">
        <v>1494607</v>
      </c>
      <c r="H377" t="s">
        <v>18</v>
      </c>
      <c r="I377">
        <v>5</v>
      </c>
      <c r="J377" t="s">
        <v>20</v>
      </c>
      <c r="K377">
        <v>22</v>
      </c>
      <c r="L377">
        <v>2</v>
      </c>
      <c r="M377" t="s">
        <v>19</v>
      </c>
      <c r="N377" t="s">
        <v>20</v>
      </c>
    </row>
    <row r="378" spans="1:14">
      <c r="A378" t="s">
        <v>406</v>
      </c>
      <c r="B378">
        <v>28</v>
      </c>
      <c r="C378" t="s">
        <v>22</v>
      </c>
      <c r="D378" t="s">
        <v>27</v>
      </c>
      <c r="E378" t="s">
        <v>17</v>
      </c>
      <c r="F378">
        <v>20</v>
      </c>
      <c r="G378">
        <v>527285</v>
      </c>
      <c r="H378" t="s">
        <v>28</v>
      </c>
      <c r="I378">
        <v>1</v>
      </c>
      <c r="J378" t="s">
        <v>19</v>
      </c>
      <c r="K378">
        <v>21</v>
      </c>
      <c r="L378">
        <v>1</v>
      </c>
      <c r="M378" t="s">
        <v>20</v>
      </c>
      <c r="N378" t="s">
        <v>19</v>
      </c>
    </row>
    <row r="379" spans="1:14">
      <c r="A379" t="s">
        <v>407</v>
      </c>
      <c r="B379">
        <v>39</v>
      </c>
      <c r="C379" t="s">
        <v>15</v>
      </c>
      <c r="D379" t="s">
        <v>30</v>
      </c>
      <c r="E379" t="s">
        <v>33</v>
      </c>
      <c r="F379">
        <v>0</v>
      </c>
      <c r="G379">
        <v>1739504</v>
      </c>
      <c r="H379" t="s">
        <v>34</v>
      </c>
      <c r="I379">
        <v>10</v>
      </c>
      <c r="J379" t="s">
        <v>19</v>
      </c>
      <c r="K379">
        <v>17</v>
      </c>
      <c r="L379">
        <v>5</v>
      </c>
      <c r="M379" t="s">
        <v>19</v>
      </c>
      <c r="N379" t="s">
        <v>19</v>
      </c>
    </row>
    <row r="380" spans="1:14">
      <c r="A380" t="s">
        <v>408</v>
      </c>
      <c r="B380">
        <v>24</v>
      </c>
      <c r="C380" t="s">
        <v>15</v>
      </c>
      <c r="D380" t="s">
        <v>30</v>
      </c>
      <c r="E380" t="s">
        <v>23</v>
      </c>
      <c r="F380">
        <v>5</v>
      </c>
      <c r="G380">
        <v>1633562</v>
      </c>
      <c r="H380" t="s">
        <v>28</v>
      </c>
      <c r="I380">
        <v>7</v>
      </c>
      <c r="J380" t="s">
        <v>19</v>
      </c>
      <c r="K380">
        <v>23</v>
      </c>
      <c r="L380">
        <v>1</v>
      </c>
      <c r="M380" t="s">
        <v>20</v>
      </c>
      <c r="N380" t="s">
        <v>20</v>
      </c>
    </row>
    <row r="381" spans="1:14">
      <c r="A381" t="s">
        <v>409</v>
      </c>
      <c r="B381">
        <v>33</v>
      </c>
      <c r="C381" t="s">
        <v>22</v>
      </c>
      <c r="D381" t="s">
        <v>25</v>
      </c>
      <c r="E381" t="s">
        <v>33</v>
      </c>
      <c r="F381">
        <v>14</v>
      </c>
      <c r="G381">
        <v>1724379</v>
      </c>
      <c r="H381" t="s">
        <v>28</v>
      </c>
      <c r="I381">
        <v>9</v>
      </c>
      <c r="J381" t="s">
        <v>19</v>
      </c>
      <c r="K381">
        <v>51</v>
      </c>
      <c r="L381">
        <v>3</v>
      </c>
      <c r="M381" t="s">
        <v>20</v>
      </c>
      <c r="N381" t="s">
        <v>20</v>
      </c>
    </row>
    <row r="382" spans="1:14">
      <c r="A382" t="s">
        <v>410</v>
      </c>
      <c r="B382">
        <v>39</v>
      </c>
      <c r="C382" t="s">
        <v>22</v>
      </c>
      <c r="D382" t="s">
        <v>16</v>
      </c>
      <c r="E382" t="s">
        <v>31</v>
      </c>
      <c r="F382">
        <v>12</v>
      </c>
      <c r="G382">
        <v>438576</v>
      </c>
      <c r="H382" t="s">
        <v>28</v>
      </c>
      <c r="I382">
        <v>1</v>
      </c>
      <c r="J382" t="s">
        <v>20</v>
      </c>
      <c r="K382">
        <v>13</v>
      </c>
      <c r="L382">
        <v>1</v>
      </c>
      <c r="M382" t="s">
        <v>20</v>
      </c>
      <c r="N382" t="s">
        <v>20</v>
      </c>
    </row>
    <row r="383" spans="1:14">
      <c r="A383" t="s">
        <v>411</v>
      </c>
      <c r="B383">
        <v>30</v>
      </c>
      <c r="C383" t="s">
        <v>22</v>
      </c>
      <c r="D383" t="s">
        <v>16</v>
      </c>
      <c r="E383" t="s">
        <v>33</v>
      </c>
      <c r="F383">
        <v>1</v>
      </c>
      <c r="G383">
        <v>1748014</v>
      </c>
      <c r="H383" t="s">
        <v>34</v>
      </c>
      <c r="I383">
        <v>2</v>
      </c>
      <c r="J383" t="s">
        <v>20</v>
      </c>
      <c r="K383">
        <v>40</v>
      </c>
      <c r="L383">
        <v>2</v>
      </c>
      <c r="M383" t="s">
        <v>19</v>
      </c>
      <c r="N383" t="s">
        <v>20</v>
      </c>
    </row>
    <row r="384" spans="1:14">
      <c r="A384" t="s">
        <v>412</v>
      </c>
      <c r="B384">
        <v>49</v>
      </c>
      <c r="C384" t="s">
        <v>15</v>
      </c>
      <c r="D384" t="s">
        <v>30</v>
      </c>
      <c r="E384" t="s">
        <v>23</v>
      </c>
      <c r="F384">
        <v>9</v>
      </c>
      <c r="G384">
        <v>1357398</v>
      </c>
      <c r="H384" t="s">
        <v>28</v>
      </c>
      <c r="I384">
        <v>7</v>
      </c>
      <c r="J384" t="s">
        <v>20</v>
      </c>
      <c r="K384">
        <v>3</v>
      </c>
      <c r="L384">
        <v>2</v>
      </c>
      <c r="M384" t="s">
        <v>20</v>
      </c>
      <c r="N384" t="s">
        <v>20</v>
      </c>
    </row>
    <row r="385" spans="1:14">
      <c r="A385" t="s">
        <v>413</v>
      </c>
      <c r="B385">
        <v>35</v>
      </c>
      <c r="C385" t="s">
        <v>22</v>
      </c>
      <c r="D385" t="s">
        <v>27</v>
      </c>
      <c r="E385" t="s">
        <v>23</v>
      </c>
      <c r="F385">
        <v>13</v>
      </c>
      <c r="G385">
        <v>1654474</v>
      </c>
      <c r="H385" t="s">
        <v>28</v>
      </c>
      <c r="I385">
        <v>3</v>
      </c>
      <c r="J385" t="s">
        <v>19</v>
      </c>
      <c r="K385">
        <v>55</v>
      </c>
      <c r="L385">
        <v>1</v>
      </c>
      <c r="M385" t="s">
        <v>20</v>
      </c>
      <c r="N385" t="s">
        <v>19</v>
      </c>
    </row>
    <row r="386" spans="1:14">
      <c r="A386" t="s">
        <v>414</v>
      </c>
      <c r="B386">
        <v>25</v>
      </c>
      <c r="C386" t="s">
        <v>22</v>
      </c>
      <c r="D386" t="s">
        <v>36</v>
      </c>
      <c r="E386" t="s">
        <v>17</v>
      </c>
      <c r="F386">
        <v>0</v>
      </c>
      <c r="G386">
        <v>397799</v>
      </c>
      <c r="H386" t="s">
        <v>34</v>
      </c>
      <c r="I386">
        <v>9</v>
      </c>
      <c r="J386" t="s">
        <v>20</v>
      </c>
      <c r="K386">
        <v>5</v>
      </c>
      <c r="L386">
        <v>1</v>
      </c>
      <c r="M386" t="s">
        <v>20</v>
      </c>
      <c r="N386" t="s">
        <v>20</v>
      </c>
    </row>
    <row r="387" spans="1:14">
      <c r="A387" t="s">
        <v>415</v>
      </c>
      <c r="B387">
        <v>25</v>
      </c>
      <c r="C387" t="s">
        <v>22</v>
      </c>
      <c r="D387" t="s">
        <v>36</v>
      </c>
      <c r="E387" t="s">
        <v>33</v>
      </c>
      <c r="F387">
        <v>18</v>
      </c>
      <c r="G387">
        <v>405295</v>
      </c>
      <c r="H387" t="s">
        <v>28</v>
      </c>
      <c r="I387">
        <v>10</v>
      </c>
      <c r="J387" t="s">
        <v>20</v>
      </c>
      <c r="K387">
        <v>27</v>
      </c>
      <c r="L387">
        <v>1</v>
      </c>
      <c r="M387" t="s">
        <v>20</v>
      </c>
      <c r="N387" t="s">
        <v>20</v>
      </c>
    </row>
    <row r="388" spans="1:14">
      <c r="A388" t="s">
        <v>416</v>
      </c>
      <c r="B388">
        <v>40</v>
      </c>
      <c r="C388" t="s">
        <v>22</v>
      </c>
      <c r="D388" t="s">
        <v>36</v>
      </c>
      <c r="E388" t="s">
        <v>31</v>
      </c>
      <c r="F388">
        <v>9</v>
      </c>
      <c r="G388">
        <v>904127</v>
      </c>
      <c r="H388" t="s">
        <v>28</v>
      </c>
      <c r="I388">
        <v>3</v>
      </c>
      <c r="J388" t="s">
        <v>20</v>
      </c>
      <c r="K388">
        <v>6</v>
      </c>
      <c r="L388">
        <v>2</v>
      </c>
      <c r="M388" t="s">
        <v>20</v>
      </c>
      <c r="N388" t="s">
        <v>20</v>
      </c>
    </row>
    <row r="389" spans="1:14">
      <c r="A389" t="s">
        <v>417</v>
      </c>
      <c r="B389">
        <v>60</v>
      </c>
      <c r="C389" t="s">
        <v>15</v>
      </c>
      <c r="D389" t="s">
        <v>27</v>
      </c>
      <c r="E389" t="s">
        <v>17</v>
      </c>
      <c r="F389">
        <v>14</v>
      </c>
      <c r="G389">
        <v>1576896</v>
      </c>
      <c r="H389" t="s">
        <v>18</v>
      </c>
      <c r="I389">
        <v>1</v>
      </c>
      <c r="J389" t="s">
        <v>20</v>
      </c>
      <c r="K389">
        <v>41</v>
      </c>
      <c r="L389">
        <v>5</v>
      </c>
      <c r="M389" t="s">
        <v>20</v>
      </c>
      <c r="N389" t="s">
        <v>20</v>
      </c>
    </row>
    <row r="390" spans="1:14">
      <c r="A390" t="s">
        <v>418</v>
      </c>
      <c r="B390">
        <v>28</v>
      </c>
      <c r="C390" t="s">
        <v>22</v>
      </c>
      <c r="D390" t="s">
        <v>36</v>
      </c>
      <c r="E390" t="s">
        <v>31</v>
      </c>
      <c r="F390">
        <v>11</v>
      </c>
      <c r="G390">
        <v>995835</v>
      </c>
      <c r="H390" t="s">
        <v>18</v>
      </c>
      <c r="I390">
        <v>1</v>
      </c>
      <c r="J390" t="s">
        <v>19</v>
      </c>
      <c r="K390">
        <v>2</v>
      </c>
      <c r="L390">
        <v>1</v>
      </c>
      <c r="M390" t="s">
        <v>20</v>
      </c>
      <c r="N390" t="s">
        <v>19</v>
      </c>
    </row>
    <row r="391" spans="1:14">
      <c r="A391" t="s">
        <v>419</v>
      </c>
      <c r="B391">
        <v>49</v>
      </c>
      <c r="C391" t="s">
        <v>15</v>
      </c>
      <c r="D391" t="s">
        <v>36</v>
      </c>
      <c r="E391" t="s">
        <v>33</v>
      </c>
      <c r="F391">
        <v>11</v>
      </c>
      <c r="G391">
        <v>402777</v>
      </c>
      <c r="H391" t="s">
        <v>18</v>
      </c>
      <c r="I391">
        <v>7</v>
      </c>
      <c r="J391" t="s">
        <v>20</v>
      </c>
      <c r="K391">
        <v>42</v>
      </c>
      <c r="L391">
        <v>3</v>
      </c>
      <c r="M391" t="s">
        <v>20</v>
      </c>
      <c r="N391" t="s">
        <v>20</v>
      </c>
    </row>
    <row r="392" spans="1:14">
      <c r="A392" t="s">
        <v>420</v>
      </c>
      <c r="B392">
        <v>43</v>
      </c>
      <c r="C392" t="s">
        <v>22</v>
      </c>
      <c r="D392" t="s">
        <v>25</v>
      </c>
      <c r="E392" t="s">
        <v>31</v>
      </c>
      <c r="F392">
        <v>10</v>
      </c>
      <c r="G392">
        <v>1171718</v>
      </c>
      <c r="H392" t="s">
        <v>34</v>
      </c>
      <c r="I392">
        <v>8</v>
      </c>
      <c r="J392" t="s">
        <v>20</v>
      </c>
      <c r="K392">
        <v>41</v>
      </c>
      <c r="L392">
        <v>4</v>
      </c>
      <c r="M392" t="s">
        <v>20</v>
      </c>
      <c r="N392" t="s">
        <v>20</v>
      </c>
    </row>
    <row r="393" spans="1:14">
      <c r="A393" t="s">
        <v>421</v>
      </c>
      <c r="B393">
        <v>51</v>
      </c>
      <c r="C393" t="s">
        <v>22</v>
      </c>
      <c r="D393" t="s">
        <v>30</v>
      </c>
      <c r="E393" t="s">
        <v>31</v>
      </c>
      <c r="F393">
        <v>15</v>
      </c>
      <c r="G393">
        <v>330135</v>
      </c>
      <c r="H393" t="s">
        <v>28</v>
      </c>
      <c r="I393">
        <v>1</v>
      </c>
      <c r="J393" t="s">
        <v>19</v>
      </c>
      <c r="K393">
        <v>9</v>
      </c>
      <c r="L393">
        <v>2</v>
      </c>
      <c r="M393" t="s">
        <v>20</v>
      </c>
      <c r="N393" t="s">
        <v>19</v>
      </c>
    </row>
    <row r="394" spans="1:14">
      <c r="A394" t="s">
        <v>422</v>
      </c>
      <c r="B394">
        <v>22</v>
      </c>
      <c r="C394" t="s">
        <v>15</v>
      </c>
      <c r="D394" t="s">
        <v>25</v>
      </c>
      <c r="E394" t="s">
        <v>31</v>
      </c>
      <c r="F394">
        <v>16</v>
      </c>
      <c r="G394">
        <v>1034960</v>
      </c>
      <c r="H394" t="s">
        <v>18</v>
      </c>
      <c r="I394">
        <v>5</v>
      </c>
      <c r="J394" t="s">
        <v>20</v>
      </c>
      <c r="K394">
        <v>26</v>
      </c>
      <c r="L394">
        <v>1</v>
      </c>
      <c r="M394" t="s">
        <v>20</v>
      </c>
      <c r="N394" t="s">
        <v>20</v>
      </c>
    </row>
    <row r="395" spans="1:14">
      <c r="A395" t="s">
        <v>423</v>
      </c>
      <c r="B395">
        <v>60</v>
      </c>
      <c r="C395" t="s">
        <v>15</v>
      </c>
      <c r="D395" t="s">
        <v>36</v>
      </c>
      <c r="E395" t="s">
        <v>23</v>
      </c>
      <c r="F395">
        <v>9</v>
      </c>
      <c r="G395">
        <v>1093223</v>
      </c>
      <c r="H395" t="s">
        <v>34</v>
      </c>
      <c r="I395">
        <v>8</v>
      </c>
      <c r="J395" t="s">
        <v>20</v>
      </c>
      <c r="K395">
        <v>0</v>
      </c>
      <c r="L395">
        <v>1</v>
      </c>
      <c r="M395" t="s">
        <v>20</v>
      </c>
      <c r="N395" t="s">
        <v>20</v>
      </c>
    </row>
    <row r="396" spans="1:14">
      <c r="A396" t="s">
        <v>424</v>
      </c>
      <c r="B396">
        <v>31</v>
      </c>
      <c r="C396" t="s">
        <v>22</v>
      </c>
      <c r="D396" t="s">
        <v>36</v>
      </c>
      <c r="E396" t="s">
        <v>33</v>
      </c>
      <c r="F396">
        <v>17</v>
      </c>
      <c r="G396">
        <v>520477</v>
      </c>
      <c r="H396" t="s">
        <v>34</v>
      </c>
      <c r="I396">
        <v>3</v>
      </c>
      <c r="J396" t="s">
        <v>19</v>
      </c>
      <c r="K396">
        <v>5</v>
      </c>
      <c r="L396">
        <v>4</v>
      </c>
      <c r="M396" t="s">
        <v>19</v>
      </c>
      <c r="N396" t="s">
        <v>19</v>
      </c>
    </row>
    <row r="397" spans="1:14">
      <c r="A397" t="s">
        <v>425</v>
      </c>
      <c r="B397">
        <v>57</v>
      </c>
      <c r="C397" t="s">
        <v>22</v>
      </c>
      <c r="D397" t="s">
        <v>30</v>
      </c>
      <c r="E397" t="s">
        <v>31</v>
      </c>
      <c r="F397">
        <v>8</v>
      </c>
      <c r="G397">
        <v>298195</v>
      </c>
      <c r="H397" t="s">
        <v>34</v>
      </c>
      <c r="I397">
        <v>9</v>
      </c>
      <c r="J397" t="s">
        <v>19</v>
      </c>
      <c r="K397">
        <v>54</v>
      </c>
      <c r="L397">
        <v>3</v>
      </c>
      <c r="M397" t="s">
        <v>20</v>
      </c>
      <c r="N397" t="s">
        <v>20</v>
      </c>
    </row>
    <row r="398" spans="1:14">
      <c r="A398" t="s">
        <v>426</v>
      </c>
      <c r="B398">
        <v>28</v>
      </c>
      <c r="C398" t="s">
        <v>22</v>
      </c>
      <c r="D398" t="s">
        <v>27</v>
      </c>
      <c r="E398" t="s">
        <v>31</v>
      </c>
      <c r="F398">
        <v>11</v>
      </c>
      <c r="G398">
        <v>543543</v>
      </c>
      <c r="H398" t="s">
        <v>28</v>
      </c>
      <c r="I398">
        <v>6</v>
      </c>
      <c r="J398" t="s">
        <v>20</v>
      </c>
      <c r="K398">
        <v>5</v>
      </c>
      <c r="L398">
        <v>5</v>
      </c>
      <c r="M398" t="s">
        <v>19</v>
      </c>
      <c r="N398" t="s">
        <v>20</v>
      </c>
    </row>
    <row r="399" spans="1:14">
      <c r="A399" t="s">
        <v>427</v>
      </c>
      <c r="B399">
        <v>24</v>
      </c>
      <c r="C399" t="s">
        <v>22</v>
      </c>
      <c r="D399" t="s">
        <v>36</v>
      </c>
      <c r="E399" t="s">
        <v>23</v>
      </c>
      <c r="F399">
        <v>3</v>
      </c>
      <c r="G399">
        <v>1581351</v>
      </c>
      <c r="H399" t="s">
        <v>34</v>
      </c>
      <c r="I399">
        <v>3</v>
      </c>
      <c r="J399" t="s">
        <v>20</v>
      </c>
      <c r="K399">
        <v>11</v>
      </c>
      <c r="L399">
        <v>5</v>
      </c>
      <c r="M399" t="s">
        <v>19</v>
      </c>
      <c r="N399" t="s">
        <v>20</v>
      </c>
    </row>
    <row r="400" spans="1:14">
      <c r="A400" t="s">
        <v>428</v>
      </c>
      <c r="B400">
        <v>47</v>
      </c>
      <c r="C400" t="s">
        <v>22</v>
      </c>
      <c r="D400" t="s">
        <v>25</v>
      </c>
      <c r="E400" t="s">
        <v>23</v>
      </c>
      <c r="F400">
        <v>15</v>
      </c>
      <c r="G400">
        <v>356787</v>
      </c>
      <c r="H400" t="s">
        <v>18</v>
      </c>
      <c r="I400">
        <v>7</v>
      </c>
      <c r="J400" t="s">
        <v>19</v>
      </c>
      <c r="K400">
        <v>52</v>
      </c>
      <c r="L400">
        <v>1</v>
      </c>
      <c r="M400" t="s">
        <v>20</v>
      </c>
      <c r="N400" t="s">
        <v>20</v>
      </c>
    </row>
    <row r="401" spans="1:14">
      <c r="A401" t="s">
        <v>429</v>
      </c>
      <c r="B401">
        <v>40</v>
      </c>
      <c r="C401" t="s">
        <v>15</v>
      </c>
      <c r="D401" t="s">
        <v>36</v>
      </c>
      <c r="E401" t="s">
        <v>23</v>
      </c>
      <c r="F401">
        <v>9</v>
      </c>
      <c r="G401">
        <v>696935</v>
      </c>
      <c r="H401" t="s">
        <v>28</v>
      </c>
      <c r="I401">
        <v>6</v>
      </c>
      <c r="J401" t="s">
        <v>19</v>
      </c>
      <c r="K401">
        <v>11</v>
      </c>
      <c r="L401">
        <v>3</v>
      </c>
      <c r="M401" t="s">
        <v>20</v>
      </c>
      <c r="N401" t="s">
        <v>20</v>
      </c>
    </row>
    <row r="402" spans="1:14">
      <c r="A402" t="s">
        <v>430</v>
      </c>
      <c r="B402">
        <v>46</v>
      </c>
      <c r="C402" t="s">
        <v>15</v>
      </c>
      <c r="D402" t="s">
        <v>36</v>
      </c>
      <c r="E402" t="s">
        <v>17</v>
      </c>
      <c r="F402">
        <v>4</v>
      </c>
      <c r="G402">
        <v>250317</v>
      </c>
      <c r="H402" t="s">
        <v>34</v>
      </c>
      <c r="I402">
        <v>8</v>
      </c>
      <c r="J402" t="s">
        <v>20</v>
      </c>
      <c r="K402">
        <v>26</v>
      </c>
      <c r="L402">
        <v>2</v>
      </c>
      <c r="M402" t="s">
        <v>20</v>
      </c>
      <c r="N402" t="s">
        <v>20</v>
      </c>
    </row>
    <row r="403" spans="1:14">
      <c r="A403" t="s">
        <v>431</v>
      </c>
      <c r="B403">
        <v>43</v>
      </c>
      <c r="C403" t="s">
        <v>15</v>
      </c>
      <c r="D403" t="s">
        <v>25</v>
      </c>
      <c r="E403" t="s">
        <v>31</v>
      </c>
      <c r="F403">
        <v>3</v>
      </c>
      <c r="G403">
        <v>560032</v>
      </c>
      <c r="H403" t="s">
        <v>34</v>
      </c>
      <c r="I403">
        <v>9</v>
      </c>
      <c r="J403" t="s">
        <v>20</v>
      </c>
      <c r="K403">
        <v>50</v>
      </c>
      <c r="L403">
        <v>4</v>
      </c>
      <c r="M403" t="s">
        <v>20</v>
      </c>
      <c r="N403" t="s">
        <v>20</v>
      </c>
    </row>
    <row r="404" spans="1:14">
      <c r="A404" t="s">
        <v>432</v>
      </c>
      <c r="B404">
        <v>35</v>
      </c>
      <c r="C404" t="s">
        <v>22</v>
      </c>
      <c r="D404" t="s">
        <v>36</v>
      </c>
      <c r="E404" t="s">
        <v>23</v>
      </c>
      <c r="F404">
        <v>1</v>
      </c>
      <c r="G404">
        <v>1320480</v>
      </c>
      <c r="H404" t="s">
        <v>34</v>
      </c>
      <c r="I404">
        <v>3</v>
      </c>
      <c r="J404" t="s">
        <v>19</v>
      </c>
      <c r="K404">
        <v>36</v>
      </c>
      <c r="L404">
        <v>1</v>
      </c>
      <c r="M404" t="s">
        <v>20</v>
      </c>
      <c r="N404" t="s">
        <v>19</v>
      </c>
    </row>
    <row r="405" spans="1:14">
      <c r="A405" t="s">
        <v>433</v>
      </c>
      <c r="B405">
        <v>55</v>
      </c>
      <c r="C405" t="s">
        <v>22</v>
      </c>
      <c r="D405" t="s">
        <v>30</v>
      </c>
      <c r="E405" t="s">
        <v>31</v>
      </c>
      <c r="F405">
        <v>4</v>
      </c>
      <c r="G405">
        <v>345511</v>
      </c>
      <c r="H405" t="s">
        <v>34</v>
      </c>
      <c r="I405">
        <v>2</v>
      </c>
      <c r="J405" t="s">
        <v>20</v>
      </c>
      <c r="K405">
        <v>54</v>
      </c>
      <c r="L405">
        <v>3</v>
      </c>
      <c r="M405" t="s">
        <v>20</v>
      </c>
      <c r="N405" t="s">
        <v>19</v>
      </c>
    </row>
    <row r="406" spans="1:14">
      <c r="A406" t="s">
        <v>434</v>
      </c>
      <c r="B406">
        <v>35</v>
      </c>
      <c r="C406" t="s">
        <v>22</v>
      </c>
      <c r="D406" t="s">
        <v>30</v>
      </c>
      <c r="E406" t="s">
        <v>23</v>
      </c>
      <c r="F406">
        <v>13</v>
      </c>
      <c r="G406">
        <v>532967</v>
      </c>
      <c r="H406" t="s">
        <v>34</v>
      </c>
      <c r="I406">
        <v>4</v>
      </c>
      <c r="J406" t="s">
        <v>19</v>
      </c>
      <c r="K406">
        <v>51</v>
      </c>
      <c r="L406">
        <v>2</v>
      </c>
      <c r="M406" t="s">
        <v>20</v>
      </c>
      <c r="N406" t="s">
        <v>19</v>
      </c>
    </row>
    <row r="407" spans="1:14">
      <c r="A407" t="s">
        <v>435</v>
      </c>
      <c r="B407">
        <v>54</v>
      </c>
      <c r="C407" t="s">
        <v>22</v>
      </c>
      <c r="D407" t="s">
        <v>36</v>
      </c>
      <c r="E407" t="s">
        <v>31</v>
      </c>
      <c r="F407">
        <v>7</v>
      </c>
      <c r="G407">
        <v>796039</v>
      </c>
      <c r="H407" t="s">
        <v>18</v>
      </c>
      <c r="I407">
        <v>6</v>
      </c>
      <c r="J407" t="s">
        <v>20</v>
      </c>
      <c r="K407">
        <v>52</v>
      </c>
      <c r="L407">
        <v>5</v>
      </c>
      <c r="M407" t="s">
        <v>20</v>
      </c>
      <c r="N407" t="s">
        <v>20</v>
      </c>
    </row>
    <row r="408" spans="1:14">
      <c r="A408" t="s">
        <v>436</v>
      </c>
      <c r="B408">
        <v>32</v>
      </c>
      <c r="C408" t="s">
        <v>22</v>
      </c>
      <c r="D408" t="s">
        <v>36</v>
      </c>
      <c r="E408" t="s">
        <v>17</v>
      </c>
      <c r="F408">
        <v>8</v>
      </c>
      <c r="G408">
        <v>530983</v>
      </c>
      <c r="H408" t="s">
        <v>18</v>
      </c>
      <c r="I408">
        <v>2</v>
      </c>
      <c r="J408" t="s">
        <v>20</v>
      </c>
      <c r="K408">
        <v>48</v>
      </c>
      <c r="L408">
        <v>5</v>
      </c>
      <c r="M408" t="s">
        <v>20</v>
      </c>
      <c r="N408" t="s">
        <v>20</v>
      </c>
    </row>
    <row r="409" spans="1:14">
      <c r="A409" t="s">
        <v>437</v>
      </c>
      <c r="B409">
        <v>25</v>
      </c>
      <c r="C409" t="s">
        <v>15</v>
      </c>
      <c r="D409" t="s">
        <v>16</v>
      </c>
      <c r="E409" t="s">
        <v>31</v>
      </c>
      <c r="F409">
        <v>19</v>
      </c>
      <c r="G409">
        <v>361509</v>
      </c>
      <c r="H409" t="s">
        <v>28</v>
      </c>
      <c r="I409">
        <v>2</v>
      </c>
      <c r="J409" t="s">
        <v>19</v>
      </c>
      <c r="K409">
        <v>55</v>
      </c>
      <c r="L409">
        <v>2</v>
      </c>
      <c r="M409" t="s">
        <v>20</v>
      </c>
      <c r="N409" t="s">
        <v>19</v>
      </c>
    </row>
    <row r="410" spans="1:14">
      <c r="A410" t="s">
        <v>438</v>
      </c>
      <c r="B410">
        <v>42</v>
      </c>
      <c r="C410" t="s">
        <v>22</v>
      </c>
      <c r="D410" t="s">
        <v>27</v>
      </c>
      <c r="E410" t="s">
        <v>23</v>
      </c>
      <c r="F410">
        <v>20</v>
      </c>
      <c r="G410">
        <v>1315371</v>
      </c>
      <c r="H410" t="s">
        <v>28</v>
      </c>
      <c r="I410">
        <v>2</v>
      </c>
      <c r="J410" t="s">
        <v>20</v>
      </c>
      <c r="K410">
        <v>4</v>
      </c>
      <c r="L410">
        <v>2</v>
      </c>
      <c r="M410" t="s">
        <v>20</v>
      </c>
      <c r="N410" t="s">
        <v>20</v>
      </c>
    </row>
    <row r="411" spans="1:14">
      <c r="A411" t="s">
        <v>439</v>
      </c>
      <c r="B411">
        <v>59</v>
      </c>
      <c r="C411" t="s">
        <v>15</v>
      </c>
      <c r="D411" t="s">
        <v>16</v>
      </c>
      <c r="E411" t="s">
        <v>23</v>
      </c>
      <c r="F411">
        <v>15</v>
      </c>
      <c r="G411">
        <v>598022</v>
      </c>
      <c r="H411" t="s">
        <v>18</v>
      </c>
      <c r="I411">
        <v>9</v>
      </c>
      <c r="J411" t="s">
        <v>19</v>
      </c>
      <c r="K411">
        <v>43</v>
      </c>
      <c r="L411">
        <v>2</v>
      </c>
      <c r="M411" t="s">
        <v>20</v>
      </c>
      <c r="N411" t="s">
        <v>20</v>
      </c>
    </row>
    <row r="412" spans="1:14">
      <c r="A412" t="s">
        <v>440</v>
      </c>
      <c r="B412">
        <v>25</v>
      </c>
      <c r="C412" t="s">
        <v>15</v>
      </c>
      <c r="D412" t="s">
        <v>25</v>
      </c>
      <c r="E412" t="s">
        <v>31</v>
      </c>
      <c r="F412">
        <v>12</v>
      </c>
      <c r="G412">
        <v>1468245</v>
      </c>
      <c r="H412" t="s">
        <v>34</v>
      </c>
      <c r="I412">
        <v>7</v>
      </c>
      <c r="J412" t="s">
        <v>19</v>
      </c>
      <c r="K412">
        <v>59</v>
      </c>
      <c r="L412">
        <v>3</v>
      </c>
      <c r="M412" t="s">
        <v>20</v>
      </c>
      <c r="N412" t="s">
        <v>20</v>
      </c>
    </row>
    <row r="413" spans="1:14">
      <c r="A413" t="s">
        <v>441</v>
      </c>
      <c r="B413">
        <v>41</v>
      </c>
      <c r="C413" t="s">
        <v>15</v>
      </c>
      <c r="D413" t="s">
        <v>27</v>
      </c>
      <c r="E413" t="s">
        <v>17</v>
      </c>
      <c r="F413">
        <v>16</v>
      </c>
      <c r="G413">
        <v>548764</v>
      </c>
      <c r="H413" t="s">
        <v>34</v>
      </c>
      <c r="I413">
        <v>7</v>
      </c>
      <c r="J413" t="s">
        <v>19</v>
      </c>
      <c r="K413">
        <v>48</v>
      </c>
      <c r="L413">
        <v>2</v>
      </c>
      <c r="M413" t="s">
        <v>20</v>
      </c>
      <c r="N413" t="s">
        <v>20</v>
      </c>
    </row>
    <row r="414" spans="1:14">
      <c r="A414" t="s">
        <v>442</v>
      </c>
      <c r="B414">
        <v>54</v>
      </c>
      <c r="C414" t="s">
        <v>15</v>
      </c>
      <c r="D414" t="s">
        <v>25</v>
      </c>
      <c r="E414" t="s">
        <v>17</v>
      </c>
      <c r="F414">
        <v>3</v>
      </c>
      <c r="G414">
        <v>1284802</v>
      </c>
      <c r="H414" t="s">
        <v>28</v>
      </c>
      <c r="I414">
        <v>5</v>
      </c>
      <c r="J414" t="s">
        <v>20</v>
      </c>
      <c r="K414">
        <v>29</v>
      </c>
      <c r="L414">
        <v>3</v>
      </c>
      <c r="M414" t="s">
        <v>20</v>
      </c>
      <c r="N414" t="s">
        <v>20</v>
      </c>
    </row>
    <row r="415" spans="1:14">
      <c r="A415" t="s">
        <v>443</v>
      </c>
      <c r="B415">
        <v>53</v>
      </c>
      <c r="C415" t="s">
        <v>15</v>
      </c>
      <c r="D415" t="s">
        <v>30</v>
      </c>
      <c r="E415" t="s">
        <v>33</v>
      </c>
      <c r="F415">
        <v>5</v>
      </c>
      <c r="G415">
        <v>1547564</v>
      </c>
      <c r="H415" t="s">
        <v>18</v>
      </c>
      <c r="I415">
        <v>8</v>
      </c>
      <c r="J415" t="s">
        <v>20</v>
      </c>
      <c r="K415">
        <v>19</v>
      </c>
      <c r="L415">
        <v>5</v>
      </c>
      <c r="M415" t="s">
        <v>19</v>
      </c>
      <c r="N415" t="s">
        <v>20</v>
      </c>
    </row>
    <row r="416" spans="1:14">
      <c r="A416" t="s">
        <v>444</v>
      </c>
      <c r="B416">
        <v>44</v>
      </c>
      <c r="C416" t="s">
        <v>22</v>
      </c>
      <c r="D416" t="s">
        <v>25</v>
      </c>
      <c r="E416" t="s">
        <v>17</v>
      </c>
      <c r="F416">
        <v>14</v>
      </c>
      <c r="G416">
        <v>466621</v>
      </c>
      <c r="H416" t="s">
        <v>28</v>
      </c>
      <c r="I416">
        <v>1</v>
      </c>
      <c r="J416" t="s">
        <v>19</v>
      </c>
      <c r="K416">
        <v>46</v>
      </c>
      <c r="L416">
        <v>3</v>
      </c>
      <c r="M416" t="s">
        <v>20</v>
      </c>
      <c r="N416" t="s">
        <v>19</v>
      </c>
    </row>
    <row r="417" spans="1:14">
      <c r="A417" t="s">
        <v>445</v>
      </c>
      <c r="B417">
        <v>33</v>
      </c>
      <c r="C417" t="s">
        <v>22</v>
      </c>
      <c r="D417" t="s">
        <v>16</v>
      </c>
      <c r="E417" t="s">
        <v>23</v>
      </c>
      <c r="F417">
        <v>12</v>
      </c>
      <c r="G417">
        <v>1123716</v>
      </c>
      <c r="H417" t="s">
        <v>34</v>
      </c>
      <c r="I417">
        <v>3</v>
      </c>
      <c r="J417" t="s">
        <v>19</v>
      </c>
      <c r="K417">
        <v>5</v>
      </c>
      <c r="L417">
        <v>5</v>
      </c>
      <c r="M417" t="s">
        <v>20</v>
      </c>
      <c r="N417" t="s">
        <v>19</v>
      </c>
    </row>
    <row r="418" spans="1:14">
      <c r="A418" t="s">
        <v>446</v>
      </c>
      <c r="B418">
        <v>33</v>
      </c>
      <c r="C418" t="s">
        <v>22</v>
      </c>
      <c r="D418" t="s">
        <v>36</v>
      </c>
      <c r="E418" t="s">
        <v>17</v>
      </c>
      <c r="F418">
        <v>9</v>
      </c>
      <c r="G418">
        <v>1158478</v>
      </c>
      <c r="H418" t="s">
        <v>34</v>
      </c>
      <c r="I418">
        <v>7</v>
      </c>
      <c r="J418" t="s">
        <v>20</v>
      </c>
      <c r="K418">
        <v>35</v>
      </c>
      <c r="L418">
        <v>2</v>
      </c>
      <c r="M418" t="s">
        <v>20</v>
      </c>
      <c r="N418" t="s">
        <v>20</v>
      </c>
    </row>
    <row r="419" spans="1:14">
      <c r="A419" t="s">
        <v>447</v>
      </c>
      <c r="B419">
        <v>52</v>
      </c>
      <c r="C419" t="s">
        <v>22</v>
      </c>
      <c r="D419" t="s">
        <v>27</v>
      </c>
      <c r="E419" t="s">
        <v>33</v>
      </c>
      <c r="F419">
        <v>19</v>
      </c>
      <c r="G419">
        <v>1517370</v>
      </c>
      <c r="H419" t="s">
        <v>18</v>
      </c>
      <c r="I419">
        <v>3</v>
      </c>
      <c r="J419" t="s">
        <v>20</v>
      </c>
      <c r="K419">
        <v>48</v>
      </c>
      <c r="L419">
        <v>3</v>
      </c>
      <c r="M419" t="s">
        <v>19</v>
      </c>
      <c r="N419" t="s">
        <v>20</v>
      </c>
    </row>
    <row r="420" spans="1:14">
      <c r="A420" t="s">
        <v>448</v>
      </c>
      <c r="B420">
        <v>26</v>
      </c>
      <c r="C420" t="s">
        <v>22</v>
      </c>
      <c r="D420" t="s">
        <v>16</v>
      </c>
      <c r="E420" t="s">
        <v>31</v>
      </c>
      <c r="F420">
        <v>7</v>
      </c>
      <c r="G420">
        <v>548477</v>
      </c>
      <c r="H420" t="s">
        <v>18</v>
      </c>
      <c r="I420">
        <v>10</v>
      </c>
      <c r="J420" t="s">
        <v>19</v>
      </c>
      <c r="K420">
        <v>53</v>
      </c>
      <c r="L420">
        <v>1</v>
      </c>
      <c r="M420" t="s">
        <v>19</v>
      </c>
      <c r="N420" t="s">
        <v>20</v>
      </c>
    </row>
    <row r="421" spans="1:14">
      <c r="A421" t="s">
        <v>449</v>
      </c>
      <c r="B421">
        <v>53</v>
      </c>
      <c r="C421" t="s">
        <v>15</v>
      </c>
      <c r="D421" t="s">
        <v>25</v>
      </c>
      <c r="E421" t="s">
        <v>33</v>
      </c>
      <c r="F421">
        <v>2</v>
      </c>
      <c r="G421">
        <v>1656916</v>
      </c>
      <c r="H421" t="s">
        <v>28</v>
      </c>
      <c r="I421">
        <v>9</v>
      </c>
      <c r="J421" t="s">
        <v>20</v>
      </c>
      <c r="K421">
        <v>32</v>
      </c>
      <c r="L421">
        <v>4</v>
      </c>
      <c r="M421" t="s">
        <v>19</v>
      </c>
      <c r="N421" t="s">
        <v>20</v>
      </c>
    </row>
    <row r="422" spans="1:14">
      <c r="A422" t="s">
        <v>450</v>
      </c>
      <c r="B422">
        <v>45</v>
      </c>
      <c r="C422" t="s">
        <v>15</v>
      </c>
      <c r="D422" t="s">
        <v>25</v>
      </c>
      <c r="E422" t="s">
        <v>17</v>
      </c>
      <c r="F422">
        <v>4</v>
      </c>
      <c r="G422">
        <v>1496748</v>
      </c>
      <c r="H422" t="s">
        <v>28</v>
      </c>
      <c r="I422">
        <v>6</v>
      </c>
      <c r="J422" t="s">
        <v>19</v>
      </c>
      <c r="K422">
        <v>12</v>
      </c>
      <c r="L422">
        <v>4</v>
      </c>
      <c r="M422" t="s">
        <v>20</v>
      </c>
      <c r="N422" t="s">
        <v>20</v>
      </c>
    </row>
    <row r="423" spans="1:14">
      <c r="A423" t="s">
        <v>451</v>
      </c>
      <c r="B423">
        <v>55</v>
      </c>
      <c r="C423" t="s">
        <v>15</v>
      </c>
      <c r="D423" t="s">
        <v>16</v>
      </c>
      <c r="E423" t="s">
        <v>33</v>
      </c>
      <c r="F423">
        <v>4</v>
      </c>
      <c r="G423">
        <v>959909</v>
      </c>
      <c r="H423" t="s">
        <v>18</v>
      </c>
      <c r="I423">
        <v>8</v>
      </c>
      <c r="J423" t="s">
        <v>19</v>
      </c>
      <c r="K423">
        <v>4</v>
      </c>
      <c r="L423">
        <v>4</v>
      </c>
      <c r="M423" t="s">
        <v>20</v>
      </c>
      <c r="N423" t="s">
        <v>20</v>
      </c>
    </row>
    <row r="424" spans="1:14">
      <c r="A424" t="s">
        <v>452</v>
      </c>
      <c r="B424">
        <v>39</v>
      </c>
      <c r="C424" t="s">
        <v>22</v>
      </c>
      <c r="D424" t="s">
        <v>30</v>
      </c>
      <c r="E424" t="s">
        <v>33</v>
      </c>
      <c r="F424">
        <v>0</v>
      </c>
      <c r="G424">
        <v>1558332</v>
      </c>
      <c r="H424" t="s">
        <v>28</v>
      </c>
      <c r="I424">
        <v>4</v>
      </c>
      <c r="J424" t="s">
        <v>19</v>
      </c>
      <c r="K424">
        <v>57</v>
      </c>
      <c r="L424">
        <v>4</v>
      </c>
      <c r="M424" t="s">
        <v>20</v>
      </c>
      <c r="N424" t="s">
        <v>19</v>
      </c>
    </row>
    <row r="425" spans="1:14">
      <c r="A425" t="s">
        <v>453</v>
      </c>
      <c r="B425">
        <v>54</v>
      </c>
      <c r="C425" t="s">
        <v>22</v>
      </c>
      <c r="D425" t="s">
        <v>36</v>
      </c>
      <c r="E425" t="s">
        <v>33</v>
      </c>
      <c r="F425">
        <v>8</v>
      </c>
      <c r="G425">
        <v>541401</v>
      </c>
      <c r="H425" t="s">
        <v>18</v>
      </c>
      <c r="I425">
        <v>10</v>
      </c>
      <c r="J425" t="s">
        <v>20</v>
      </c>
      <c r="K425">
        <v>33</v>
      </c>
      <c r="L425">
        <v>1</v>
      </c>
      <c r="M425" t="s">
        <v>19</v>
      </c>
      <c r="N425" t="s">
        <v>20</v>
      </c>
    </row>
    <row r="426" spans="1:14">
      <c r="A426" t="s">
        <v>454</v>
      </c>
      <c r="B426">
        <v>45</v>
      </c>
      <c r="C426" t="s">
        <v>22</v>
      </c>
      <c r="D426" t="s">
        <v>16</v>
      </c>
      <c r="E426" t="s">
        <v>17</v>
      </c>
      <c r="F426">
        <v>15</v>
      </c>
      <c r="G426">
        <v>504508</v>
      </c>
      <c r="H426" t="s">
        <v>28</v>
      </c>
      <c r="I426">
        <v>9</v>
      </c>
      <c r="J426" t="s">
        <v>19</v>
      </c>
      <c r="K426">
        <v>26</v>
      </c>
      <c r="L426">
        <v>3</v>
      </c>
      <c r="M426" t="s">
        <v>20</v>
      </c>
      <c r="N426" t="s">
        <v>20</v>
      </c>
    </row>
    <row r="427" spans="1:14">
      <c r="A427" t="s">
        <v>455</v>
      </c>
      <c r="B427">
        <v>51</v>
      </c>
      <c r="C427" t="s">
        <v>22</v>
      </c>
      <c r="D427" t="s">
        <v>36</v>
      </c>
      <c r="E427" t="s">
        <v>23</v>
      </c>
      <c r="F427">
        <v>11</v>
      </c>
      <c r="G427">
        <v>1648190</v>
      </c>
      <c r="H427" t="s">
        <v>34</v>
      </c>
      <c r="I427">
        <v>1</v>
      </c>
      <c r="J427" t="s">
        <v>19</v>
      </c>
      <c r="K427">
        <v>55</v>
      </c>
      <c r="L427">
        <v>5</v>
      </c>
      <c r="M427" t="s">
        <v>19</v>
      </c>
      <c r="N427" t="s">
        <v>19</v>
      </c>
    </row>
    <row r="428" spans="1:14">
      <c r="A428" t="s">
        <v>456</v>
      </c>
      <c r="B428">
        <v>58</v>
      </c>
      <c r="C428" t="s">
        <v>22</v>
      </c>
      <c r="D428" t="s">
        <v>30</v>
      </c>
      <c r="E428" t="s">
        <v>31</v>
      </c>
      <c r="F428">
        <v>0</v>
      </c>
      <c r="G428">
        <v>740059</v>
      </c>
      <c r="H428" t="s">
        <v>34</v>
      </c>
      <c r="I428">
        <v>2</v>
      </c>
      <c r="J428" t="s">
        <v>20</v>
      </c>
      <c r="K428">
        <v>13</v>
      </c>
      <c r="L428">
        <v>3</v>
      </c>
      <c r="M428" t="s">
        <v>20</v>
      </c>
      <c r="N428" t="s">
        <v>20</v>
      </c>
    </row>
    <row r="429" spans="1:14">
      <c r="A429" t="s">
        <v>457</v>
      </c>
      <c r="B429">
        <v>56</v>
      </c>
      <c r="C429" t="s">
        <v>15</v>
      </c>
      <c r="D429" t="s">
        <v>27</v>
      </c>
      <c r="E429" t="s">
        <v>31</v>
      </c>
      <c r="F429">
        <v>10</v>
      </c>
      <c r="G429">
        <v>560369</v>
      </c>
      <c r="H429" t="s">
        <v>34</v>
      </c>
      <c r="I429">
        <v>2</v>
      </c>
      <c r="J429" t="s">
        <v>20</v>
      </c>
      <c r="K429">
        <v>50</v>
      </c>
      <c r="L429">
        <v>2</v>
      </c>
      <c r="M429" t="s">
        <v>19</v>
      </c>
      <c r="N429" t="s">
        <v>20</v>
      </c>
    </row>
    <row r="430" spans="1:14">
      <c r="A430" t="s">
        <v>458</v>
      </c>
      <c r="B430">
        <v>44</v>
      </c>
      <c r="C430" t="s">
        <v>15</v>
      </c>
      <c r="D430" t="s">
        <v>30</v>
      </c>
      <c r="E430" t="s">
        <v>23</v>
      </c>
      <c r="F430">
        <v>10</v>
      </c>
      <c r="G430">
        <v>291730</v>
      </c>
      <c r="H430" t="s">
        <v>34</v>
      </c>
      <c r="I430">
        <v>10</v>
      </c>
      <c r="J430" t="s">
        <v>20</v>
      </c>
      <c r="K430">
        <v>29</v>
      </c>
      <c r="L430">
        <v>4</v>
      </c>
      <c r="M430" t="s">
        <v>20</v>
      </c>
      <c r="N430" t="s">
        <v>20</v>
      </c>
    </row>
    <row r="431" spans="1:14">
      <c r="A431" t="s">
        <v>459</v>
      </c>
      <c r="B431">
        <v>42</v>
      </c>
      <c r="C431" t="s">
        <v>22</v>
      </c>
      <c r="D431" t="s">
        <v>30</v>
      </c>
      <c r="E431" t="s">
        <v>23</v>
      </c>
      <c r="F431">
        <v>5</v>
      </c>
      <c r="G431">
        <v>947534</v>
      </c>
      <c r="H431" t="s">
        <v>34</v>
      </c>
      <c r="I431">
        <v>9</v>
      </c>
      <c r="J431" t="s">
        <v>20</v>
      </c>
      <c r="K431">
        <v>2</v>
      </c>
      <c r="L431">
        <v>3</v>
      </c>
      <c r="M431" t="s">
        <v>19</v>
      </c>
      <c r="N431" t="s">
        <v>20</v>
      </c>
    </row>
    <row r="432" spans="1:14">
      <c r="A432" t="s">
        <v>460</v>
      </c>
      <c r="B432">
        <v>43</v>
      </c>
      <c r="C432" t="s">
        <v>22</v>
      </c>
      <c r="D432" t="s">
        <v>30</v>
      </c>
      <c r="E432" t="s">
        <v>31</v>
      </c>
      <c r="F432">
        <v>6</v>
      </c>
      <c r="G432">
        <v>749734</v>
      </c>
      <c r="H432" t="s">
        <v>34</v>
      </c>
      <c r="I432">
        <v>1</v>
      </c>
      <c r="J432" t="s">
        <v>20</v>
      </c>
      <c r="K432">
        <v>17</v>
      </c>
      <c r="L432">
        <v>2</v>
      </c>
      <c r="M432" t="s">
        <v>20</v>
      </c>
      <c r="N432" t="s">
        <v>20</v>
      </c>
    </row>
    <row r="433" spans="1:14">
      <c r="A433" t="s">
        <v>461</v>
      </c>
      <c r="B433">
        <v>29</v>
      </c>
      <c r="C433" t="s">
        <v>22</v>
      </c>
      <c r="D433" t="s">
        <v>16</v>
      </c>
      <c r="E433" t="s">
        <v>31</v>
      </c>
      <c r="F433">
        <v>7</v>
      </c>
      <c r="G433">
        <v>1682314</v>
      </c>
      <c r="H433" t="s">
        <v>18</v>
      </c>
      <c r="I433">
        <v>6</v>
      </c>
      <c r="J433" t="s">
        <v>20</v>
      </c>
      <c r="K433">
        <v>30</v>
      </c>
      <c r="L433">
        <v>5</v>
      </c>
      <c r="M433" t="s">
        <v>20</v>
      </c>
      <c r="N433" t="s">
        <v>20</v>
      </c>
    </row>
    <row r="434" spans="1:14">
      <c r="A434" t="s">
        <v>462</v>
      </c>
      <c r="B434">
        <v>41</v>
      </c>
      <c r="C434" t="s">
        <v>22</v>
      </c>
      <c r="D434" t="s">
        <v>27</v>
      </c>
      <c r="E434" t="s">
        <v>17</v>
      </c>
      <c r="F434">
        <v>4</v>
      </c>
      <c r="G434">
        <v>653784</v>
      </c>
      <c r="H434" t="s">
        <v>28</v>
      </c>
      <c r="I434">
        <v>6</v>
      </c>
      <c r="J434" t="s">
        <v>20</v>
      </c>
      <c r="K434">
        <v>12</v>
      </c>
      <c r="L434">
        <v>3</v>
      </c>
      <c r="M434" t="s">
        <v>19</v>
      </c>
      <c r="N434" t="s">
        <v>20</v>
      </c>
    </row>
    <row r="435" spans="1:14">
      <c r="A435" t="s">
        <v>463</v>
      </c>
      <c r="B435">
        <v>23</v>
      </c>
      <c r="C435" t="s">
        <v>15</v>
      </c>
      <c r="D435" t="s">
        <v>30</v>
      </c>
      <c r="E435" t="s">
        <v>17</v>
      </c>
      <c r="F435">
        <v>10</v>
      </c>
      <c r="G435">
        <v>1623843</v>
      </c>
      <c r="H435" t="s">
        <v>18</v>
      </c>
      <c r="I435">
        <v>5</v>
      </c>
      <c r="J435" t="s">
        <v>20</v>
      </c>
      <c r="K435">
        <v>46</v>
      </c>
      <c r="L435">
        <v>3</v>
      </c>
      <c r="M435" t="s">
        <v>20</v>
      </c>
      <c r="N435" t="s">
        <v>20</v>
      </c>
    </row>
    <row r="436" spans="1:14">
      <c r="A436" t="s">
        <v>464</v>
      </c>
      <c r="B436">
        <v>30</v>
      </c>
      <c r="C436" t="s">
        <v>22</v>
      </c>
      <c r="D436" t="s">
        <v>25</v>
      </c>
      <c r="E436" t="s">
        <v>31</v>
      </c>
      <c r="F436">
        <v>3</v>
      </c>
      <c r="G436">
        <v>1721143</v>
      </c>
      <c r="H436" t="s">
        <v>34</v>
      </c>
      <c r="I436">
        <v>2</v>
      </c>
      <c r="J436" t="s">
        <v>20</v>
      </c>
      <c r="K436">
        <v>8</v>
      </c>
      <c r="L436">
        <v>3</v>
      </c>
      <c r="M436" t="s">
        <v>19</v>
      </c>
      <c r="N436" t="s">
        <v>20</v>
      </c>
    </row>
    <row r="437" spans="1:14">
      <c r="A437" t="s">
        <v>465</v>
      </c>
      <c r="B437">
        <v>51</v>
      </c>
      <c r="C437" t="s">
        <v>15</v>
      </c>
      <c r="D437" t="s">
        <v>27</v>
      </c>
      <c r="E437" t="s">
        <v>31</v>
      </c>
      <c r="F437">
        <v>7</v>
      </c>
      <c r="G437">
        <v>1214380</v>
      </c>
      <c r="H437" t="s">
        <v>34</v>
      </c>
      <c r="I437">
        <v>1</v>
      </c>
      <c r="J437" t="s">
        <v>20</v>
      </c>
      <c r="K437">
        <v>12</v>
      </c>
      <c r="L437">
        <v>1</v>
      </c>
      <c r="M437" t="s">
        <v>19</v>
      </c>
      <c r="N437" t="s">
        <v>20</v>
      </c>
    </row>
    <row r="438" spans="1:14">
      <c r="A438" t="s">
        <v>466</v>
      </c>
      <c r="B438">
        <v>21</v>
      </c>
      <c r="C438" t="s">
        <v>22</v>
      </c>
      <c r="D438" t="s">
        <v>25</v>
      </c>
      <c r="E438" t="s">
        <v>33</v>
      </c>
      <c r="F438">
        <v>8</v>
      </c>
      <c r="G438">
        <v>1421048</v>
      </c>
      <c r="H438" t="s">
        <v>34</v>
      </c>
      <c r="I438">
        <v>2</v>
      </c>
      <c r="J438" t="s">
        <v>19</v>
      </c>
      <c r="K438">
        <v>16</v>
      </c>
      <c r="L438">
        <v>3</v>
      </c>
      <c r="M438" t="s">
        <v>20</v>
      </c>
      <c r="N438" t="s">
        <v>19</v>
      </c>
    </row>
    <row r="439" spans="1:14">
      <c r="A439" t="s">
        <v>467</v>
      </c>
      <c r="B439">
        <v>59</v>
      </c>
      <c r="C439" t="s">
        <v>15</v>
      </c>
      <c r="D439" t="s">
        <v>30</v>
      </c>
      <c r="E439" t="s">
        <v>17</v>
      </c>
      <c r="F439">
        <v>0</v>
      </c>
      <c r="G439">
        <v>1733394</v>
      </c>
      <c r="H439" t="s">
        <v>18</v>
      </c>
      <c r="I439">
        <v>9</v>
      </c>
      <c r="J439" t="s">
        <v>20</v>
      </c>
      <c r="K439">
        <v>14</v>
      </c>
      <c r="L439">
        <v>3</v>
      </c>
      <c r="M439" t="s">
        <v>20</v>
      </c>
      <c r="N439" t="s">
        <v>20</v>
      </c>
    </row>
    <row r="440" spans="1:14">
      <c r="A440" t="s">
        <v>468</v>
      </c>
      <c r="B440">
        <v>57</v>
      </c>
      <c r="C440" t="s">
        <v>22</v>
      </c>
      <c r="D440" t="s">
        <v>25</v>
      </c>
      <c r="E440" t="s">
        <v>31</v>
      </c>
      <c r="F440">
        <v>15</v>
      </c>
      <c r="G440">
        <v>1234521</v>
      </c>
      <c r="H440" t="s">
        <v>28</v>
      </c>
      <c r="I440">
        <v>3</v>
      </c>
      <c r="J440" t="s">
        <v>20</v>
      </c>
      <c r="K440">
        <v>2</v>
      </c>
      <c r="L440">
        <v>3</v>
      </c>
      <c r="M440" t="s">
        <v>20</v>
      </c>
      <c r="N440" t="s">
        <v>20</v>
      </c>
    </row>
    <row r="441" spans="1:14">
      <c r="A441" t="s">
        <v>469</v>
      </c>
      <c r="B441">
        <v>21</v>
      </c>
      <c r="C441" t="s">
        <v>22</v>
      </c>
      <c r="D441" t="s">
        <v>36</v>
      </c>
      <c r="E441" t="s">
        <v>23</v>
      </c>
      <c r="F441">
        <v>10</v>
      </c>
      <c r="G441">
        <v>768926</v>
      </c>
      <c r="H441" t="s">
        <v>18</v>
      </c>
      <c r="I441">
        <v>3</v>
      </c>
      <c r="J441" t="s">
        <v>20</v>
      </c>
      <c r="K441">
        <v>14</v>
      </c>
      <c r="L441">
        <v>3</v>
      </c>
      <c r="M441" t="s">
        <v>20</v>
      </c>
      <c r="N441" t="s">
        <v>20</v>
      </c>
    </row>
    <row r="442" spans="1:14">
      <c r="A442" t="s">
        <v>470</v>
      </c>
      <c r="B442">
        <v>28</v>
      </c>
      <c r="C442" t="s">
        <v>22</v>
      </c>
      <c r="D442" t="s">
        <v>30</v>
      </c>
      <c r="E442" t="s">
        <v>23</v>
      </c>
      <c r="F442">
        <v>7</v>
      </c>
      <c r="G442">
        <v>713454</v>
      </c>
      <c r="H442" t="s">
        <v>28</v>
      </c>
      <c r="I442">
        <v>2</v>
      </c>
      <c r="J442" t="s">
        <v>20</v>
      </c>
      <c r="K442">
        <v>42</v>
      </c>
      <c r="L442">
        <v>5</v>
      </c>
      <c r="M442" t="s">
        <v>20</v>
      </c>
      <c r="N442" t="s">
        <v>20</v>
      </c>
    </row>
    <row r="443" spans="1:14">
      <c r="A443" t="s">
        <v>471</v>
      </c>
      <c r="B443">
        <v>52</v>
      </c>
      <c r="C443" t="s">
        <v>15</v>
      </c>
      <c r="D443" t="s">
        <v>27</v>
      </c>
      <c r="E443" t="s">
        <v>31</v>
      </c>
      <c r="F443">
        <v>7</v>
      </c>
      <c r="G443">
        <v>1056618</v>
      </c>
      <c r="H443" t="s">
        <v>18</v>
      </c>
      <c r="I443">
        <v>4</v>
      </c>
      <c r="J443" t="s">
        <v>20</v>
      </c>
      <c r="K443">
        <v>54</v>
      </c>
      <c r="L443">
        <v>1</v>
      </c>
      <c r="M443" t="s">
        <v>20</v>
      </c>
      <c r="N443" t="s">
        <v>20</v>
      </c>
    </row>
    <row r="444" spans="1:14">
      <c r="A444" t="s">
        <v>472</v>
      </c>
      <c r="B444">
        <v>42</v>
      </c>
      <c r="C444" t="s">
        <v>15</v>
      </c>
      <c r="D444" t="s">
        <v>16</v>
      </c>
      <c r="E444" t="s">
        <v>23</v>
      </c>
      <c r="F444">
        <v>16</v>
      </c>
      <c r="G444">
        <v>1159353</v>
      </c>
      <c r="H444" t="s">
        <v>34</v>
      </c>
      <c r="I444">
        <v>9</v>
      </c>
      <c r="J444" t="s">
        <v>20</v>
      </c>
      <c r="K444">
        <v>37</v>
      </c>
      <c r="L444">
        <v>5</v>
      </c>
      <c r="M444" t="s">
        <v>20</v>
      </c>
      <c r="N444" t="s">
        <v>20</v>
      </c>
    </row>
    <row r="445" spans="1:14">
      <c r="A445" t="s">
        <v>473</v>
      </c>
      <c r="B445">
        <v>35</v>
      </c>
      <c r="C445" t="s">
        <v>22</v>
      </c>
      <c r="D445" t="s">
        <v>16</v>
      </c>
      <c r="E445" t="s">
        <v>33</v>
      </c>
      <c r="F445">
        <v>1</v>
      </c>
      <c r="G445">
        <v>1738627</v>
      </c>
      <c r="H445" t="s">
        <v>34</v>
      </c>
      <c r="I445">
        <v>1</v>
      </c>
      <c r="J445" t="s">
        <v>19</v>
      </c>
      <c r="K445">
        <v>25</v>
      </c>
      <c r="L445">
        <v>2</v>
      </c>
      <c r="M445" t="s">
        <v>20</v>
      </c>
      <c r="N445" t="s">
        <v>19</v>
      </c>
    </row>
    <row r="446" spans="1:14">
      <c r="A446" t="s">
        <v>474</v>
      </c>
      <c r="B446">
        <v>25</v>
      </c>
      <c r="C446" t="s">
        <v>15</v>
      </c>
      <c r="D446" t="s">
        <v>25</v>
      </c>
      <c r="E446" t="s">
        <v>23</v>
      </c>
      <c r="F446">
        <v>8</v>
      </c>
      <c r="G446">
        <v>1385834</v>
      </c>
      <c r="H446" t="s">
        <v>28</v>
      </c>
      <c r="I446">
        <v>5</v>
      </c>
      <c r="J446" t="s">
        <v>19</v>
      </c>
      <c r="K446">
        <v>32</v>
      </c>
      <c r="L446">
        <v>4</v>
      </c>
      <c r="M446" t="s">
        <v>19</v>
      </c>
      <c r="N446" t="s">
        <v>20</v>
      </c>
    </row>
    <row r="447" spans="1:14">
      <c r="A447" t="s">
        <v>475</v>
      </c>
      <c r="B447">
        <v>46</v>
      </c>
      <c r="C447" t="s">
        <v>22</v>
      </c>
      <c r="D447" t="s">
        <v>27</v>
      </c>
      <c r="E447" t="s">
        <v>23</v>
      </c>
      <c r="F447">
        <v>11</v>
      </c>
      <c r="G447">
        <v>1507933</v>
      </c>
      <c r="H447" t="s">
        <v>28</v>
      </c>
      <c r="I447">
        <v>6</v>
      </c>
      <c r="J447" t="s">
        <v>20</v>
      </c>
      <c r="K447">
        <v>58</v>
      </c>
      <c r="L447">
        <v>2</v>
      </c>
      <c r="M447" t="s">
        <v>19</v>
      </c>
      <c r="N447" t="s">
        <v>20</v>
      </c>
    </row>
    <row r="448" spans="1:14">
      <c r="A448" t="s">
        <v>476</v>
      </c>
      <c r="B448">
        <v>46</v>
      </c>
      <c r="C448" t="s">
        <v>22</v>
      </c>
      <c r="D448" t="s">
        <v>25</v>
      </c>
      <c r="E448" t="s">
        <v>17</v>
      </c>
      <c r="F448">
        <v>3</v>
      </c>
      <c r="G448">
        <v>578407</v>
      </c>
      <c r="H448" t="s">
        <v>18</v>
      </c>
      <c r="I448">
        <v>8</v>
      </c>
      <c r="J448" t="s">
        <v>19</v>
      </c>
      <c r="K448">
        <v>3</v>
      </c>
      <c r="L448">
        <v>5</v>
      </c>
      <c r="M448" t="s">
        <v>19</v>
      </c>
      <c r="N448" t="s">
        <v>20</v>
      </c>
    </row>
    <row r="449" spans="1:14">
      <c r="A449" t="s">
        <v>477</v>
      </c>
      <c r="B449">
        <v>51</v>
      </c>
      <c r="C449" t="s">
        <v>22</v>
      </c>
      <c r="D449" t="s">
        <v>36</v>
      </c>
      <c r="E449" t="s">
        <v>31</v>
      </c>
      <c r="F449">
        <v>4</v>
      </c>
      <c r="G449">
        <v>338129</v>
      </c>
      <c r="H449" t="s">
        <v>28</v>
      </c>
      <c r="I449">
        <v>2</v>
      </c>
      <c r="J449" t="s">
        <v>19</v>
      </c>
      <c r="K449">
        <v>44</v>
      </c>
      <c r="L449">
        <v>2</v>
      </c>
      <c r="M449" t="s">
        <v>19</v>
      </c>
      <c r="N449" t="s">
        <v>19</v>
      </c>
    </row>
    <row r="450" spans="1:14">
      <c r="A450" t="s">
        <v>478</v>
      </c>
      <c r="B450">
        <v>42</v>
      </c>
      <c r="C450" t="s">
        <v>15</v>
      </c>
      <c r="D450" t="s">
        <v>36</v>
      </c>
      <c r="E450" t="s">
        <v>33</v>
      </c>
      <c r="F450">
        <v>7</v>
      </c>
      <c r="G450">
        <v>975501</v>
      </c>
      <c r="H450" t="s">
        <v>28</v>
      </c>
      <c r="I450">
        <v>5</v>
      </c>
      <c r="J450" t="s">
        <v>20</v>
      </c>
      <c r="K450">
        <v>59</v>
      </c>
      <c r="L450">
        <v>4</v>
      </c>
      <c r="M450" t="s">
        <v>20</v>
      </c>
      <c r="N450" t="s">
        <v>20</v>
      </c>
    </row>
    <row r="451" spans="1:14">
      <c r="A451" t="s">
        <v>479</v>
      </c>
      <c r="B451">
        <v>55</v>
      </c>
      <c r="C451" t="s">
        <v>22</v>
      </c>
      <c r="D451" t="s">
        <v>16</v>
      </c>
      <c r="E451" t="s">
        <v>31</v>
      </c>
      <c r="F451">
        <v>20</v>
      </c>
      <c r="G451">
        <v>355305</v>
      </c>
      <c r="H451" t="s">
        <v>34</v>
      </c>
      <c r="I451">
        <v>7</v>
      </c>
      <c r="J451" t="s">
        <v>20</v>
      </c>
      <c r="K451">
        <v>7</v>
      </c>
      <c r="L451">
        <v>2</v>
      </c>
      <c r="M451" t="s">
        <v>20</v>
      </c>
      <c r="N451" t="s">
        <v>20</v>
      </c>
    </row>
    <row r="452" spans="1:14">
      <c r="A452" t="s">
        <v>480</v>
      </c>
      <c r="B452">
        <v>56</v>
      </c>
      <c r="C452" t="s">
        <v>15</v>
      </c>
      <c r="D452" t="s">
        <v>27</v>
      </c>
      <c r="E452" t="s">
        <v>17</v>
      </c>
      <c r="F452">
        <v>18</v>
      </c>
      <c r="G452">
        <v>1520569</v>
      </c>
      <c r="H452" t="s">
        <v>28</v>
      </c>
      <c r="I452">
        <v>1</v>
      </c>
      <c r="J452" t="s">
        <v>20</v>
      </c>
      <c r="K452">
        <v>36</v>
      </c>
      <c r="L452">
        <v>5</v>
      </c>
      <c r="M452" t="s">
        <v>20</v>
      </c>
      <c r="N452" t="s">
        <v>20</v>
      </c>
    </row>
    <row r="453" spans="1:14">
      <c r="A453" t="s">
        <v>481</v>
      </c>
      <c r="B453">
        <v>52</v>
      </c>
      <c r="C453" t="s">
        <v>22</v>
      </c>
      <c r="D453" t="s">
        <v>30</v>
      </c>
      <c r="E453" t="s">
        <v>23</v>
      </c>
      <c r="F453">
        <v>20</v>
      </c>
      <c r="G453">
        <v>1431220</v>
      </c>
      <c r="H453" t="s">
        <v>34</v>
      </c>
      <c r="I453">
        <v>2</v>
      </c>
      <c r="J453" t="s">
        <v>20</v>
      </c>
      <c r="K453">
        <v>23</v>
      </c>
      <c r="L453">
        <v>5</v>
      </c>
      <c r="M453" t="s">
        <v>19</v>
      </c>
      <c r="N453" t="s">
        <v>20</v>
      </c>
    </row>
    <row r="454" spans="1:14">
      <c r="A454" t="s">
        <v>482</v>
      </c>
      <c r="B454">
        <v>31</v>
      </c>
      <c r="C454" t="s">
        <v>22</v>
      </c>
      <c r="D454" t="s">
        <v>36</v>
      </c>
      <c r="E454" t="s">
        <v>17</v>
      </c>
      <c r="F454">
        <v>2</v>
      </c>
      <c r="G454">
        <v>257819</v>
      </c>
      <c r="H454" t="s">
        <v>18</v>
      </c>
      <c r="I454">
        <v>8</v>
      </c>
      <c r="J454" t="s">
        <v>19</v>
      </c>
      <c r="K454">
        <v>48</v>
      </c>
      <c r="L454">
        <v>3</v>
      </c>
      <c r="M454" t="s">
        <v>20</v>
      </c>
      <c r="N454" t="s">
        <v>20</v>
      </c>
    </row>
    <row r="455" spans="1:14">
      <c r="A455" t="s">
        <v>483</v>
      </c>
      <c r="B455">
        <v>59</v>
      </c>
      <c r="C455" t="s">
        <v>15</v>
      </c>
      <c r="D455" t="s">
        <v>30</v>
      </c>
      <c r="E455" t="s">
        <v>33</v>
      </c>
      <c r="F455">
        <v>15</v>
      </c>
      <c r="G455">
        <v>416133</v>
      </c>
      <c r="H455" t="s">
        <v>18</v>
      </c>
      <c r="I455">
        <v>3</v>
      </c>
      <c r="J455" t="s">
        <v>20</v>
      </c>
      <c r="K455">
        <v>1</v>
      </c>
      <c r="L455">
        <v>5</v>
      </c>
      <c r="M455" t="s">
        <v>20</v>
      </c>
      <c r="N455" t="s">
        <v>20</v>
      </c>
    </row>
    <row r="456" spans="1:14">
      <c r="A456" t="s">
        <v>484</v>
      </c>
      <c r="B456">
        <v>58</v>
      </c>
      <c r="C456" t="s">
        <v>15</v>
      </c>
      <c r="D456" t="s">
        <v>16</v>
      </c>
      <c r="E456" t="s">
        <v>33</v>
      </c>
      <c r="F456">
        <v>10</v>
      </c>
      <c r="G456">
        <v>1549143</v>
      </c>
      <c r="H456" t="s">
        <v>18</v>
      </c>
      <c r="I456">
        <v>2</v>
      </c>
      <c r="J456" t="s">
        <v>20</v>
      </c>
      <c r="K456">
        <v>4</v>
      </c>
      <c r="L456">
        <v>3</v>
      </c>
      <c r="M456" t="s">
        <v>20</v>
      </c>
      <c r="N456" t="s">
        <v>20</v>
      </c>
    </row>
    <row r="457" spans="1:14">
      <c r="A457" t="s">
        <v>485</v>
      </c>
      <c r="B457">
        <v>36</v>
      </c>
      <c r="C457" t="s">
        <v>22</v>
      </c>
      <c r="D457" t="s">
        <v>30</v>
      </c>
      <c r="E457" t="s">
        <v>17</v>
      </c>
      <c r="F457">
        <v>8</v>
      </c>
      <c r="G457">
        <v>1138882</v>
      </c>
      <c r="H457" t="s">
        <v>34</v>
      </c>
      <c r="I457">
        <v>2</v>
      </c>
      <c r="J457" t="s">
        <v>20</v>
      </c>
      <c r="K457">
        <v>9</v>
      </c>
      <c r="L457">
        <v>5</v>
      </c>
      <c r="M457" t="s">
        <v>20</v>
      </c>
      <c r="N457" t="s">
        <v>20</v>
      </c>
    </row>
    <row r="458" spans="1:14">
      <c r="A458" t="s">
        <v>486</v>
      </c>
      <c r="B458">
        <v>29</v>
      </c>
      <c r="C458" t="s">
        <v>15</v>
      </c>
      <c r="D458" t="s">
        <v>16</v>
      </c>
      <c r="E458" t="s">
        <v>17</v>
      </c>
      <c r="F458">
        <v>20</v>
      </c>
      <c r="G458">
        <v>1070175</v>
      </c>
      <c r="H458" t="s">
        <v>18</v>
      </c>
      <c r="I458">
        <v>8</v>
      </c>
      <c r="J458" t="s">
        <v>20</v>
      </c>
      <c r="K458">
        <v>0</v>
      </c>
      <c r="L458">
        <v>3</v>
      </c>
      <c r="M458" t="s">
        <v>20</v>
      </c>
      <c r="N458" t="s">
        <v>20</v>
      </c>
    </row>
    <row r="459" spans="1:14">
      <c r="A459" t="s">
        <v>487</v>
      </c>
      <c r="B459">
        <v>46</v>
      </c>
      <c r="C459" t="s">
        <v>15</v>
      </c>
      <c r="D459" t="s">
        <v>27</v>
      </c>
      <c r="E459" t="s">
        <v>23</v>
      </c>
      <c r="F459">
        <v>3</v>
      </c>
      <c r="G459">
        <v>1034977</v>
      </c>
      <c r="H459" t="s">
        <v>28</v>
      </c>
      <c r="I459">
        <v>6</v>
      </c>
      <c r="J459" t="s">
        <v>20</v>
      </c>
      <c r="K459">
        <v>7</v>
      </c>
      <c r="L459">
        <v>5</v>
      </c>
      <c r="M459" t="s">
        <v>19</v>
      </c>
      <c r="N459" t="s">
        <v>20</v>
      </c>
    </row>
    <row r="460" spans="1:14">
      <c r="A460" t="s">
        <v>488</v>
      </c>
      <c r="B460">
        <v>40</v>
      </c>
      <c r="C460" t="s">
        <v>22</v>
      </c>
      <c r="D460" t="s">
        <v>25</v>
      </c>
      <c r="E460" t="s">
        <v>33</v>
      </c>
      <c r="F460">
        <v>13</v>
      </c>
      <c r="G460">
        <v>1287942</v>
      </c>
      <c r="H460" t="s">
        <v>18</v>
      </c>
      <c r="I460">
        <v>1</v>
      </c>
      <c r="J460" t="s">
        <v>20</v>
      </c>
      <c r="K460">
        <v>5</v>
      </c>
      <c r="L460">
        <v>2</v>
      </c>
      <c r="M460" t="s">
        <v>20</v>
      </c>
      <c r="N460" t="s">
        <v>20</v>
      </c>
    </row>
    <row r="461" spans="1:14">
      <c r="A461" t="s">
        <v>489</v>
      </c>
      <c r="B461">
        <v>40</v>
      </c>
      <c r="C461" t="s">
        <v>15</v>
      </c>
      <c r="D461" t="s">
        <v>25</v>
      </c>
      <c r="E461" t="s">
        <v>17</v>
      </c>
      <c r="F461">
        <v>18</v>
      </c>
      <c r="G461">
        <v>1076433</v>
      </c>
      <c r="H461" t="s">
        <v>18</v>
      </c>
      <c r="I461">
        <v>7</v>
      </c>
      <c r="J461" t="s">
        <v>20</v>
      </c>
      <c r="K461">
        <v>37</v>
      </c>
      <c r="L461">
        <v>1</v>
      </c>
      <c r="M461" t="s">
        <v>20</v>
      </c>
      <c r="N461" t="s">
        <v>20</v>
      </c>
    </row>
    <row r="462" spans="1:14">
      <c r="A462" t="s">
        <v>490</v>
      </c>
      <c r="B462">
        <v>55</v>
      </c>
      <c r="C462" t="s">
        <v>22</v>
      </c>
      <c r="D462" t="s">
        <v>16</v>
      </c>
      <c r="E462" t="s">
        <v>31</v>
      </c>
      <c r="F462">
        <v>12</v>
      </c>
      <c r="G462">
        <v>1457316</v>
      </c>
      <c r="H462" t="s">
        <v>18</v>
      </c>
      <c r="I462">
        <v>6</v>
      </c>
      <c r="J462" t="s">
        <v>20</v>
      </c>
      <c r="K462">
        <v>25</v>
      </c>
      <c r="L462">
        <v>2</v>
      </c>
      <c r="M462" t="s">
        <v>19</v>
      </c>
      <c r="N462" t="s">
        <v>20</v>
      </c>
    </row>
    <row r="463" spans="1:14">
      <c r="A463" t="s">
        <v>491</v>
      </c>
      <c r="B463">
        <v>55</v>
      </c>
      <c r="C463" t="s">
        <v>15</v>
      </c>
      <c r="D463" t="s">
        <v>16</v>
      </c>
      <c r="E463" t="s">
        <v>23</v>
      </c>
      <c r="F463">
        <v>18</v>
      </c>
      <c r="G463">
        <v>925891</v>
      </c>
      <c r="H463" t="s">
        <v>18</v>
      </c>
      <c r="I463">
        <v>5</v>
      </c>
      <c r="J463" t="s">
        <v>20</v>
      </c>
      <c r="K463">
        <v>60</v>
      </c>
      <c r="L463">
        <v>4</v>
      </c>
      <c r="M463" t="s">
        <v>20</v>
      </c>
      <c r="N463" t="s">
        <v>20</v>
      </c>
    </row>
    <row r="464" spans="1:14">
      <c r="A464" t="s">
        <v>492</v>
      </c>
      <c r="B464">
        <v>56</v>
      </c>
      <c r="C464" t="s">
        <v>15</v>
      </c>
      <c r="D464" t="s">
        <v>27</v>
      </c>
      <c r="E464" t="s">
        <v>33</v>
      </c>
      <c r="F464">
        <v>5</v>
      </c>
      <c r="G464">
        <v>1069446</v>
      </c>
      <c r="H464" t="s">
        <v>28</v>
      </c>
      <c r="I464">
        <v>8</v>
      </c>
      <c r="J464" t="s">
        <v>20</v>
      </c>
      <c r="K464">
        <v>54</v>
      </c>
      <c r="L464">
        <v>5</v>
      </c>
      <c r="M464" t="s">
        <v>19</v>
      </c>
      <c r="N464" t="s">
        <v>20</v>
      </c>
    </row>
    <row r="465" spans="1:14">
      <c r="A465" t="s">
        <v>493</v>
      </c>
      <c r="B465">
        <v>53</v>
      </c>
      <c r="C465" t="s">
        <v>22</v>
      </c>
      <c r="D465" t="s">
        <v>25</v>
      </c>
      <c r="E465" t="s">
        <v>31</v>
      </c>
      <c r="F465">
        <v>9</v>
      </c>
      <c r="G465">
        <v>1111084</v>
      </c>
      <c r="H465" t="s">
        <v>28</v>
      </c>
      <c r="I465">
        <v>10</v>
      </c>
      <c r="J465" t="s">
        <v>20</v>
      </c>
      <c r="K465">
        <v>3</v>
      </c>
      <c r="L465">
        <v>3</v>
      </c>
      <c r="M465" t="s">
        <v>20</v>
      </c>
      <c r="N465" t="s">
        <v>20</v>
      </c>
    </row>
    <row r="466" spans="1:14">
      <c r="A466" t="s">
        <v>494</v>
      </c>
      <c r="B466">
        <v>31</v>
      </c>
      <c r="C466" t="s">
        <v>15</v>
      </c>
      <c r="D466" t="s">
        <v>16</v>
      </c>
      <c r="E466" t="s">
        <v>23</v>
      </c>
      <c r="F466">
        <v>7</v>
      </c>
      <c r="G466">
        <v>1086149</v>
      </c>
      <c r="H466" t="s">
        <v>18</v>
      </c>
      <c r="I466">
        <v>10</v>
      </c>
      <c r="J466" t="s">
        <v>20</v>
      </c>
      <c r="K466">
        <v>56</v>
      </c>
      <c r="L466">
        <v>5</v>
      </c>
      <c r="M466" t="s">
        <v>20</v>
      </c>
      <c r="N466" t="s">
        <v>20</v>
      </c>
    </row>
    <row r="467" spans="1:14">
      <c r="A467" t="s">
        <v>495</v>
      </c>
      <c r="B467">
        <v>40</v>
      </c>
      <c r="C467" t="s">
        <v>15</v>
      </c>
      <c r="D467" t="s">
        <v>27</v>
      </c>
      <c r="E467" t="s">
        <v>33</v>
      </c>
      <c r="F467">
        <v>7</v>
      </c>
      <c r="G467">
        <v>1424713</v>
      </c>
      <c r="H467" t="s">
        <v>28</v>
      </c>
      <c r="I467">
        <v>8</v>
      </c>
      <c r="J467" t="s">
        <v>20</v>
      </c>
      <c r="K467">
        <v>28</v>
      </c>
      <c r="L467">
        <v>1</v>
      </c>
      <c r="M467" t="s">
        <v>19</v>
      </c>
      <c r="N467" t="s">
        <v>20</v>
      </c>
    </row>
    <row r="468" spans="1:14">
      <c r="A468" t="s">
        <v>496</v>
      </c>
      <c r="B468">
        <v>25</v>
      </c>
      <c r="C468" t="s">
        <v>15</v>
      </c>
      <c r="D468" t="s">
        <v>16</v>
      </c>
      <c r="E468" t="s">
        <v>33</v>
      </c>
      <c r="F468">
        <v>3</v>
      </c>
      <c r="G468">
        <v>505696</v>
      </c>
      <c r="H468" t="s">
        <v>18</v>
      </c>
      <c r="I468">
        <v>6</v>
      </c>
      <c r="J468" t="s">
        <v>20</v>
      </c>
      <c r="K468">
        <v>11</v>
      </c>
      <c r="L468">
        <v>5</v>
      </c>
      <c r="M468" t="s">
        <v>20</v>
      </c>
      <c r="N468" t="s">
        <v>20</v>
      </c>
    </row>
    <row r="469" spans="1:14">
      <c r="A469" t="s">
        <v>497</v>
      </c>
      <c r="B469">
        <v>38</v>
      </c>
      <c r="C469" t="s">
        <v>15</v>
      </c>
      <c r="D469" t="s">
        <v>16</v>
      </c>
      <c r="E469" t="s">
        <v>17</v>
      </c>
      <c r="F469">
        <v>9</v>
      </c>
      <c r="G469">
        <v>433952</v>
      </c>
      <c r="H469" t="s">
        <v>18</v>
      </c>
      <c r="I469">
        <v>4</v>
      </c>
      <c r="J469" t="s">
        <v>20</v>
      </c>
      <c r="K469">
        <v>31</v>
      </c>
      <c r="L469">
        <v>5</v>
      </c>
      <c r="M469" t="s">
        <v>20</v>
      </c>
      <c r="N469" t="s">
        <v>20</v>
      </c>
    </row>
    <row r="470" spans="1:14">
      <c r="A470" t="s">
        <v>498</v>
      </c>
      <c r="B470">
        <v>21</v>
      </c>
      <c r="C470" t="s">
        <v>15</v>
      </c>
      <c r="D470" t="s">
        <v>36</v>
      </c>
      <c r="E470" t="s">
        <v>23</v>
      </c>
      <c r="F470">
        <v>12</v>
      </c>
      <c r="G470">
        <v>498851</v>
      </c>
      <c r="H470" t="s">
        <v>18</v>
      </c>
      <c r="I470">
        <v>8</v>
      </c>
      <c r="J470" t="s">
        <v>19</v>
      </c>
      <c r="K470">
        <v>20</v>
      </c>
      <c r="L470">
        <v>2</v>
      </c>
      <c r="M470" t="s">
        <v>20</v>
      </c>
      <c r="N470" t="s">
        <v>20</v>
      </c>
    </row>
    <row r="471" spans="1:14">
      <c r="A471" t="s">
        <v>499</v>
      </c>
      <c r="B471">
        <v>42</v>
      </c>
      <c r="C471" t="s">
        <v>15</v>
      </c>
      <c r="D471" t="s">
        <v>36</v>
      </c>
      <c r="E471" t="s">
        <v>31</v>
      </c>
      <c r="F471">
        <v>20</v>
      </c>
      <c r="G471">
        <v>1091917</v>
      </c>
      <c r="H471" t="s">
        <v>18</v>
      </c>
      <c r="I471">
        <v>9</v>
      </c>
      <c r="J471" t="s">
        <v>19</v>
      </c>
      <c r="K471">
        <v>32</v>
      </c>
      <c r="L471">
        <v>2</v>
      </c>
      <c r="M471" t="s">
        <v>20</v>
      </c>
      <c r="N471" t="s">
        <v>20</v>
      </c>
    </row>
    <row r="472" spans="1:14">
      <c r="A472" t="s">
        <v>500</v>
      </c>
      <c r="B472">
        <v>55</v>
      </c>
      <c r="C472" t="s">
        <v>22</v>
      </c>
      <c r="D472" t="s">
        <v>27</v>
      </c>
      <c r="E472" t="s">
        <v>17</v>
      </c>
      <c r="F472">
        <v>7</v>
      </c>
      <c r="G472">
        <v>372806</v>
      </c>
      <c r="H472" t="s">
        <v>28</v>
      </c>
      <c r="I472">
        <v>4</v>
      </c>
      <c r="J472" t="s">
        <v>19</v>
      </c>
      <c r="K472">
        <v>30</v>
      </c>
      <c r="L472">
        <v>5</v>
      </c>
      <c r="M472" t="s">
        <v>20</v>
      </c>
      <c r="N472" t="s">
        <v>19</v>
      </c>
    </row>
    <row r="473" spans="1:14">
      <c r="A473" t="s">
        <v>501</v>
      </c>
      <c r="B473">
        <v>25</v>
      </c>
      <c r="C473" t="s">
        <v>15</v>
      </c>
      <c r="D473" t="s">
        <v>25</v>
      </c>
      <c r="E473" t="s">
        <v>31</v>
      </c>
      <c r="F473">
        <v>17</v>
      </c>
      <c r="G473">
        <v>1421174</v>
      </c>
      <c r="H473" t="s">
        <v>18</v>
      </c>
      <c r="I473">
        <v>5</v>
      </c>
      <c r="J473" t="s">
        <v>20</v>
      </c>
      <c r="K473">
        <v>59</v>
      </c>
      <c r="L473">
        <v>2</v>
      </c>
      <c r="M473" t="s">
        <v>19</v>
      </c>
      <c r="N473" t="s">
        <v>20</v>
      </c>
    </row>
    <row r="474" spans="1:14">
      <c r="A474" t="s">
        <v>502</v>
      </c>
      <c r="B474">
        <v>57</v>
      </c>
      <c r="C474" t="s">
        <v>15</v>
      </c>
      <c r="D474" t="s">
        <v>36</v>
      </c>
      <c r="E474" t="s">
        <v>17</v>
      </c>
      <c r="F474">
        <v>18</v>
      </c>
      <c r="G474">
        <v>1354417</v>
      </c>
      <c r="H474" t="s">
        <v>28</v>
      </c>
      <c r="I474">
        <v>7</v>
      </c>
      <c r="J474" t="s">
        <v>20</v>
      </c>
      <c r="K474">
        <v>26</v>
      </c>
      <c r="L474">
        <v>1</v>
      </c>
      <c r="M474" t="s">
        <v>20</v>
      </c>
      <c r="N474" t="s">
        <v>20</v>
      </c>
    </row>
    <row r="475" spans="1:14">
      <c r="A475" t="s">
        <v>503</v>
      </c>
      <c r="B475">
        <v>53</v>
      </c>
      <c r="C475" t="s">
        <v>22</v>
      </c>
      <c r="D475" t="s">
        <v>16</v>
      </c>
      <c r="E475" t="s">
        <v>23</v>
      </c>
      <c r="F475">
        <v>15</v>
      </c>
      <c r="G475">
        <v>463782</v>
      </c>
      <c r="H475" t="s">
        <v>18</v>
      </c>
      <c r="I475">
        <v>10</v>
      </c>
      <c r="J475" t="s">
        <v>19</v>
      </c>
      <c r="K475">
        <v>34</v>
      </c>
      <c r="L475">
        <v>5</v>
      </c>
      <c r="M475" t="s">
        <v>20</v>
      </c>
      <c r="N475" t="s">
        <v>20</v>
      </c>
    </row>
    <row r="476" spans="1:14">
      <c r="A476" t="s">
        <v>504</v>
      </c>
      <c r="B476">
        <v>31</v>
      </c>
      <c r="C476" t="s">
        <v>15</v>
      </c>
      <c r="D476" t="s">
        <v>36</v>
      </c>
      <c r="E476" t="s">
        <v>31</v>
      </c>
      <c r="F476">
        <v>16</v>
      </c>
      <c r="G476">
        <v>1477776</v>
      </c>
      <c r="H476" t="s">
        <v>18</v>
      </c>
      <c r="I476">
        <v>4</v>
      </c>
      <c r="J476" t="s">
        <v>19</v>
      </c>
      <c r="K476">
        <v>9</v>
      </c>
      <c r="L476">
        <v>1</v>
      </c>
      <c r="M476" t="s">
        <v>20</v>
      </c>
      <c r="N476" t="s">
        <v>19</v>
      </c>
    </row>
    <row r="477" spans="1:14">
      <c r="A477" t="s">
        <v>505</v>
      </c>
      <c r="B477">
        <v>44</v>
      </c>
      <c r="C477" t="s">
        <v>15</v>
      </c>
      <c r="D477" t="s">
        <v>27</v>
      </c>
      <c r="E477" t="s">
        <v>23</v>
      </c>
      <c r="F477">
        <v>6</v>
      </c>
      <c r="G477">
        <v>1635331</v>
      </c>
      <c r="H477" t="s">
        <v>18</v>
      </c>
      <c r="I477">
        <v>3</v>
      </c>
      <c r="J477" t="s">
        <v>20</v>
      </c>
      <c r="K477">
        <v>6</v>
      </c>
      <c r="L477">
        <v>2</v>
      </c>
      <c r="M477" t="s">
        <v>20</v>
      </c>
      <c r="N477" t="s">
        <v>20</v>
      </c>
    </row>
    <row r="478" spans="1:14">
      <c r="A478" t="s">
        <v>506</v>
      </c>
      <c r="B478">
        <v>41</v>
      </c>
      <c r="C478" t="s">
        <v>15</v>
      </c>
      <c r="D478" t="s">
        <v>36</v>
      </c>
      <c r="E478" t="s">
        <v>23</v>
      </c>
      <c r="F478">
        <v>5</v>
      </c>
      <c r="G478">
        <v>1189255</v>
      </c>
      <c r="H478" t="s">
        <v>28</v>
      </c>
      <c r="I478">
        <v>4</v>
      </c>
      <c r="J478" t="s">
        <v>19</v>
      </c>
      <c r="K478">
        <v>16</v>
      </c>
      <c r="L478">
        <v>2</v>
      </c>
      <c r="M478" t="s">
        <v>20</v>
      </c>
      <c r="N478" t="s">
        <v>19</v>
      </c>
    </row>
    <row r="479" spans="1:14">
      <c r="A479" t="s">
        <v>507</v>
      </c>
      <c r="B479">
        <v>46</v>
      </c>
      <c r="C479" t="s">
        <v>22</v>
      </c>
      <c r="D479" t="s">
        <v>27</v>
      </c>
      <c r="E479" t="s">
        <v>17</v>
      </c>
      <c r="F479">
        <v>11</v>
      </c>
      <c r="G479">
        <v>575428</v>
      </c>
      <c r="H479" t="s">
        <v>34</v>
      </c>
      <c r="I479">
        <v>10</v>
      </c>
      <c r="J479" t="s">
        <v>20</v>
      </c>
      <c r="K479">
        <v>46</v>
      </c>
      <c r="L479">
        <v>1</v>
      </c>
      <c r="M479" t="s">
        <v>19</v>
      </c>
      <c r="N479" t="s">
        <v>20</v>
      </c>
    </row>
    <row r="480" spans="1:14">
      <c r="A480" t="s">
        <v>508</v>
      </c>
      <c r="B480">
        <v>22</v>
      </c>
      <c r="C480" t="s">
        <v>22</v>
      </c>
      <c r="D480" t="s">
        <v>25</v>
      </c>
      <c r="E480" t="s">
        <v>33</v>
      </c>
      <c r="F480">
        <v>16</v>
      </c>
      <c r="G480">
        <v>1437926</v>
      </c>
      <c r="H480" t="s">
        <v>18</v>
      </c>
      <c r="I480">
        <v>6</v>
      </c>
      <c r="J480" t="s">
        <v>19</v>
      </c>
      <c r="K480">
        <v>53</v>
      </c>
      <c r="L480">
        <v>3</v>
      </c>
      <c r="M480" t="s">
        <v>20</v>
      </c>
      <c r="N480" t="s">
        <v>20</v>
      </c>
    </row>
    <row r="481" spans="1:14">
      <c r="A481" t="s">
        <v>509</v>
      </c>
      <c r="B481">
        <v>36</v>
      </c>
      <c r="C481" t="s">
        <v>22</v>
      </c>
      <c r="D481" t="s">
        <v>27</v>
      </c>
      <c r="E481" t="s">
        <v>17</v>
      </c>
      <c r="F481">
        <v>13</v>
      </c>
      <c r="G481">
        <v>627991</v>
      </c>
      <c r="H481" t="s">
        <v>34</v>
      </c>
      <c r="I481">
        <v>2</v>
      </c>
      <c r="J481" t="s">
        <v>19</v>
      </c>
      <c r="K481">
        <v>44</v>
      </c>
      <c r="L481">
        <v>5</v>
      </c>
      <c r="M481" t="s">
        <v>20</v>
      </c>
      <c r="N481" t="s">
        <v>19</v>
      </c>
    </row>
    <row r="482" spans="1:14">
      <c r="A482" t="s">
        <v>510</v>
      </c>
      <c r="B482">
        <v>41</v>
      </c>
      <c r="C482" t="s">
        <v>15</v>
      </c>
      <c r="D482" t="s">
        <v>16</v>
      </c>
      <c r="E482" t="s">
        <v>33</v>
      </c>
      <c r="F482">
        <v>5</v>
      </c>
      <c r="G482">
        <v>565759</v>
      </c>
      <c r="H482" t="s">
        <v>18</v>
      </c>
      <c r="I482">
        <v>4</v>
      </c>
      <c r="J482" t="s">
        <v>20</v>
      </c>
      <c r="K482">
        <v>8</v>
      </c>
      <c r="L482">
        <v>3</v>
      </c>
      <c r="M482" t="s">
        <v>20</v>
      </c>
      <c r="N482" t="s">
        <v>20</v>
      </c>
    </row>
    <row r="483" spans="1:14">
      <c r="A483" t="s">
        <v>511</v>
      </c>
      <c r="B483">
        <v>45</v>
      </c>
      <c r="C483" t="s">
        <v>22</v>
      </c>
      <c r="D483" t="s">
        <v>27</v>
      </c>
      <c r="E483" t="s">
        <v>31</v>
      </c>
      <c r="F483">
        <v>5</v>
      </c>
      <c r="G483">
        <v>982082</v>
      </c>
      <c r="H483" t="s">
        <v>18</v>
      </c>
      <c r="I483">
        <v>5</v>
      </c>
      <c r="J483" t="s">
        <v>20</v>
      </c>
      <c r="K483">
        <v>12</v>
      </c>
      <c r="L483">
        <v>2</v>
      </c>
      <c r="M483" t="s">
        <v>20</v>
      </c>
      <c r="N483" t="s">
        <v>20</v>
      </c>
    </row>
    <row r="484" spans="1:14">
      <c r="A484" t="s">
        <v>512</v>
      </c>
      <c r="B484">
        <v>50</v>
      </c>
      <c r="C484" t="s">
        <v>15</v>
      </c>
      <c r="D484" t="s">
        <v>25</v>
      </c>
      <c r="E484" t="s">
        <v>33</v>
      </c>
      <c r="F484">
        <v>4</v>
      </c>
      <c r="G484">
        <v>1501187</v>
      </c>
      <c r="H484" t="s">
        <v>18</v>
      </c>
      <c r="I484">
        <v>7</v>
      </c>
      <c r="J484" t="s">
        <v>19</v>
      </c>
      <c r="K484">
        <v>42</v>
      </c>
      <c r="L484">
        <v>2</v>
      </c>
      <c r="M484" t="s">
        <v>20</v>
      </c>
      <c r="N484" t="s">
        <v>20</v>
      </c>
    </row>
    <row r="485" spans="1:14">
      <c r="A485" t="s">
        <v>513</v>
      </c>
      <c r="B485">
        <v>39</v>
      </c>
      <c r="C485" t="s">
        <v>15</v>
      </c>
      <c r="D485" t="s">
        <v>16</v>
      </c>
      <c r="E485" t="s">
        <v>31</v>
      </c>
      <c r="F485">
        <v>19</v>
      </c>
      <c r="G485">
        <v>383957</v>
      </c>
      <c r="H485" t="s">
        <v>34</v>
      </c>
      <c r="I485">
        <v>4</v>
      </c>
      <c r="J485" t="s">
        <v>19</v>
      </c>
      <c r="K485">
        <v>24</v>
      </c>
      <c r="L485">
        <v>1</v>
      </c>
      <c r="M485" t="s">
        <v>19</v>
      </c>
      <c r="N485" t="s">
        <v>19</v>
      </c>
    </row>
    <row r="486" spans="1:14">
      <c r="A486" t="s">
        <v>514</v>
      </c>
      <c r="B486">
        <v>37</v>
      </c>
      <c r="C486" t="s">
        <v>22</v>
      </c>
      <c r="D486" t="s">
        <v>30</v>
      </c>
      <c r="E486" t="s">
        <v>23</v>
      </c>
      <c r="F486">
        <v>15</v>
      </c>
      <c r="G486">
        <v>572402</v>
      </c>
      <c r="H486" t="s">
        <v>18</v>
      </c>
      <c r="I486">
        <v>6</v>
      </c>
      <c r="J486" t="s">
        <v>19</v>
      </c>
      <c r="K486">
        <v>57</v>
      </c>
      <c r="L486">
        <v>5</v>
      </c>
      <c r="M486" t="s">
        <v>20</v>
      </c>
      <c r="N486" t="s">
        <v>20</v>
      </c>
    </row>
    <row r="487" spans="1:14">
      <c r="A487" t="s">
        <v>515</v>
      </c>
      <c r="B487">
        <v>25</v>
      </c>
      <c r="C487" t="s">
        <v>22</v>
      </c>
      <c r="D487" t="s">
        <v>36</v>
      </c>
      <c r="E487" t="s">
        <v>33</v>
      </c>
      <c r="F487">
        <v>20</v>
      </c>
      <c r="G487">
        <v>725555</v>
      </c>
      <c r="H487" t="s">
        <v>28</v>
      </c>
      <c r="I487">
        <v>6</v>
      </c>
      <c r="J487" t="s">
        <v>19</v>
      </c>
      <c r="K487">
        <v>42</v>
      </c>
      <c r="L487">
        <v>1</v>
      </c>
      <c r="M487" t="s">
        <v>20</v>
      </c>
      <c r="N487" t="s">
        <v>20</v>
      </c>
    </row>
    <row r="488" spans="1:14">
      <c r="A488" t="s">
        <v>516</v>
      </c>
      <c r="B488">
        <v>25</v>
      </c>
      <c r="C488" t="s">
        <v>15</v>
      </c>
      <c r="D488" t="s">
        <v>36</v>
      </c>
      <c r="E488" t="s">
        <v>33</v>
      </c>
      <c r="F488">
        <v>14</v>
      </c>
      <c r="G488">
        <v>901223</v>
      </c>
      <c r="H488" t="s">
        <v>18</v>
      </c>
      <c r="I488">
        <v>2</v>
      </c>
      <c r="J488" t="s">
        <v>20</v>
      </c>
      <c r="K488">
        <v>53</v>
      </c>
      <c r="L488">
        <v>1</v>
      </c>
      <c r="M488" t="s">
        <v>20</v>
      </c>
      <c r="N488" t="s">
        <v>20</v>
      </c>
    </row>
    <row r="489" spans="1:14">
      <c r="A489" t="s">
        <v>517</v>
      </c>
      <c r="B489">
        <v>30</v>
      </c>
      <c r="C489" t="s">
        <v>15</v>
      </c>
      <c r="D489" t="s">
        <v>27</v>
      </c>
      <c r="E489" t="s">
        <v>31</v>
      </c>
      <c r="F489">
        <v>7</v>
      </c>
      <c r="G489">
        <v>1333879</v>
      </c>
      <c r="H489" t="s">
        <v>28</v>
      </c>
      <c r="I489">
        <v>10</v>
      </c>
      <c r="J489" t="s">
        <v>20</v>
      </c>
      <c r="K489">
        <v>49</v>
      </c>
      <c r="L489">
        <v>1</v>
      </c>
      <c r="M489" t="s">
        <v>19</v>
      </c>
      <c r="N489" t="s">
        <v>20</v>
      </c>
    </row>
    <row r="490" spans="1:14">
      <c r="A490" t="s">
        <v>518</v>
      </c>
      <c r="B490">
        <v>58</v>
      </c>
      <c r="C490" t="s">
        <v>22</v>
      </c>
      <c r="D490" t="s">
        <v>27</v>
      </c>
      <c r="E490" t="s">
        <v>33</v>
      </c>
      <c r="F490">
        <v>5</v>
      </c>
      <c r="G490">
        <v>1224018</v>
      </c>
      <c r="H490" t="s">
        <v>34</v>
      </c>
      <c r="I490">
        <v>7</v>
      </c>
      <c r="J490" t="s">
        <v>19</v>
      </c>
      <c r="K490">
        <v>51</v>
      </c>
      <c r="L490">
        <v>3</v>
      </c>
      <c r="M490" t="s">
        <v>19</v>
      </c>
      <c r="N490" t="s">
        <v>20</v>
      </c>
    </row>
    <row r="491" spans="1:14">
      <c r="A491" t="s">
        <v>519</v>
      </c>
      <c r="B491">
        <v>33</v>
      </c>
      <c r="C491" t="s">
        <v>22</v>
      </c>
      <c r="D491" t="s">
        <v>27</v>
      </c>
      <c r="E491" t="s">
        <v>17</v>
      </c>
      <c r="F491">
        <v>20</v>
      </c>
      <c r="G491">
        <v>479996</v>
      </c>
      <c r="H491" t="s">
        <v>18</v>
      </c>
      <c r="I491">
        <v>2</v>
      </c>
      <c r="J491" t="s">
        <v>20</v>
      </c>
      <c r="K491">
        <v>47</v>
      </c>
      <c r="L491">
        <v>5</v>
      </c>
      <c r="M491" t="s">
        <v>20</v>
      </c>
      <c r="N491" t="s">
        <v>20</v>
      </c>
    </row>
    <row r="492" spans="1:14">
      <c r="A492" t="s">
        <v>520</v>
      </c>
      <c r="B492">
        <v>30</v>
      </c>
      <c r="C492" t="s">
        <v>22</v>
      </c>
      <c r="D492" t="s">
        <v>36</v>
      </c>
      <c r="E492" t="s">
        <v>31</v>
      </c>
      <c r="F492">
        <v>7</v>
      </c>
      <c r="G492">
        <v>1478075</v>
      </c>
      <c r="H492" t="s">
        <v>34</v>
      </c>
      <c r="I492">
        <v>6</v>
      </c>
      <c r="J492" t="s">
        <v>20</v>
      </c>
      <c r="K492">
        <v>23</v>
      </c>
      <c r="L492">
        <v>5</v>
      </c>
      <c r="M492" t="s">
        <v>20</v>
      </c>
      <c r="N492" t="s">
        <v>20</v>
      </c>
    </row>
    <row r="493" spans="1:14">
      <c r="A493" t="s">
        <v>521</v>
      </c>
      <c r="B493">
        <v>59</v>
      </c>
      <c r="C493" t="s">
        <v>15</v>
      </c>
      <c r="D493" t="s">
        <v>27</v>
      </c>
      <c r="E493" t="s">
        <v>17</v>
      </c>
      <c r="F493">
        <v>5</v>
      </c>
      <c r="G493">
        <v>324362</v>
      </c>
      <c r="H493" t="s">
        <v>28</v>
      </c>
      <c r="I493">
        <v>4</v>
      </c>
      <c r="J493" t="s">
        <v>19</v>
      </c>
      <c r="K493">
        <v>47</v>
      </c>
      <c r="L493">
        <v>1</v>
      </c>
      <c r="M493" t="s">
        <v>20</v>
      </c>
      <c r="N493" t="s">
        <v>19</v>
      </c>
    </row>
    <row r="494" spans="1:14">
      <c r="A494" t="s">
        <v>522</v>
      </c>
      <c r="B494">
        <v>56</v>
      </c>
      <c r="C494" t="s">
        <v>22</v>
      </c>
      <c r="D494" t="s">
        <v>25</v>
      </c>
      <c r="E494" t="s">
        <v>17</v>
      </c>
      <c r="F494">
        <v>9</v>
      </c>
      <c r="G494">
        <v>327847</v>
      </c>
      <c r="H494" t="s">
        <v>34</v>
      </c>
      <c r="I494">
        <v>9</v>
      </c>
      <c r="J494" t="s">
        <v>20</v>
      </c>
      <c r="K494">
        <v>9</v>
      </c>
      <c r="L494">
        <v>5</v>
      </c>
      <c r="M494" t="s">
        <v>20</v>
      </c>
      <c r="N494" t="s">
        <v>20</v>
      </c>
    </row>
    <row r="495" spans="1:14">
      <c r="A495" t="s">
        <v>523</v>
      </c>
      <c r="B495">
        <v>49</v>
      </c>
      <c r="C495" t="s">
        <v>22</v>
      </c>
      <c r="D495" t="s">
        <v>27</v>
      </c>
      <c r="E495" t="s">
        <v>23</v>
      </c>
      <c r="F495">
        <v>12</v>
      </c>
      <c r="G495">
        <v>563552</v>
      </c>
      <c r="H495" t="s">
        <v>18</v>
      </c>
      <c r="I495">
        <v>2</v>
      </c>
      <c r="J495" t="s">
        <v>20</v>
      </c>
      <c r="K495">
        <v>30</v>
      </c>
      <c r="L495">
        <v>1</v>
      </c>
      <c r="M495" t="s">
        <v>20</v>
      </c>
      <c r="N495" t="s">
        <v>20</v>
      </c>
    </row>
    <row r="496" spans="1:14">
      <c r="A496" t="s">
        <v>524</v>
      </c>
      <c r="B496">
        <v>43</v>
      </c>
      <c r="C496" t="s">
        <v>22</v>
      </c>
      <c r="D496" t="s">
        <v>25</v>
      </c>
      <c r="E496" t="s">
        <v>33</v>
      </c>
      <c r="F496">
        <v>19</v>
      </c>
      <c r="G496">
        <v>1327524</v>
      </c>
      <c r="H496" t="s">
        <v>18</v>
      </c>
      <c r="I496">
        <v>3</v>
      </c>
      <c r="J496" t="s">
        <v>19</v>
      </c>
      <c r="K496">
        <v>30</v>
      </c>
      <c r="L496">
        <v>2</v>
      </c>
      <c r="M496" t="s">
        <v>20</v>
      </c>
      <c r="N496" t="s">
        <v>19</v>
      </c>
    </row>
    <row r="497" spans="1:14">
      <c r="A497" t="s">
        <v>525</v>
      </c>
      <c r="B497">
        <v>55</v>
      </c>
      <c r="C497" t="s">
        <v>15</v>
      </c>
      <c r="D497" t="s">
        <v>30</v>
      </c>
      <c r="E497" t="s">
        <v>31</v>
      </c>
      <c r="F497">
        <v>4</v>
      </c>
      <c r="G497">
        <v>1539038</v>
      </c>
      <c r="H497" t="s">
        <v>34</v>
      </c>
      <c r="I497">
        <v>9</v>
      </c>
      <c r="J497" t="s">
        <v>19</v>
      </c>
      <c r="K497">
        <v>36</v>
      </c>
      <c r="L497">
        <v>3</v>
      </c>
      <c r="M497" t="s">
        <v>20</v>
      </c>
      <c r="N497" t="s">
        <v>20</v>
      </c>
    </row>
    <row r="498" spans="1:14">
      <c r="A498" t="s">
        <v>526</v>
      </c>
      <c r="B498">
        <v>55</v>
      </c>
      <c r="C498" t="s">
        <v>22</v>
      </c>
      <c r="D498" t="s">
        <v>16</v>
      </c>
      <c r="E498" t="s">
        <v>33</v>
      </c>
      <c r="F498">
        <v>19</v>
      </c>
      <c r="G498">
        <v>1105799</v>
      </c>
      <c r="H498" t="s">
        <v>18</v>
      </c>
      <c r="I498">
        <v>1</v>
      </c>
      <c r="J498" t="s">
        <v>20</v>
      </c>
      <c r="K498">
        <v>39</v>
      </c>
      <c r="L498">
        <v>5</v>
      </c>
      <c r="M498" t="s">
        <v>19</v>
      </c>
      <c r="N498" t="s">
        <v>20</v>
      </c>
    </row>
    <row r="499" spans="1:14">
      <c r="A499" t="s">
        <v>527</v>
      </c>
      <c r="B499">
        <v>24</v>
      </c>
      <c r="C499" t="s">
        <v>22</v>
      </c>
      <c r="D499" t="s">
        <v>25</v>
      </c>
      <c r="E499" t="s">
        <v>23</v>
      </c>
      <c r="F499">
        <v>8</v>
      </c>
      <c r="G499">
        <v>1043021</v>
      </c>
      <c r="H499" t="s">
        <v>34</v>
      </c>
      <c r="I499">
        <v>4</v>
      </c>
      <c r="J499" t="s">
        <v>20</v>
      </c>
      <c r="K499">
        <v>51</v>
      </c>
      <c r="L499">
        <v>2</v>
      </c>
      <c r="M499" t="s">
        <v>20</v>
      </c>
      <c r="N499" t="s">
        <v>20</v>
      </c>
    </row>
    <row r="500" spans="1:14">
      <c r="A500" t="s">
        <v>528</v>
      </c>
      <c r="B500">
        <v>43</v>
      </c>
      <c r="C500" t="s">
        <v>22</v>
      </c>
      <c r="D500" t="s">
        <v>25</v>
      </c>
      <c r="E500" t="s">
        <v>23</v>
      </c>
      <c r="F500">
        <v>1</v>
      </c>
      <c r="G500">
        <v>894000</v>
      </c>
      <c r="H500" t="s">
        <v>34</v>
      </c>
      <c r="I500">
        <v>9</v>
      </c>
      <c r="J500" t="s">
        <v>19</v>
      </c>
      <c r="K500">
        <v>60</v>
      </c>
      <c r="L500">
        <v>3</v>
      </c>
      <c r="M500" t="s">
        <v>20</v>
      </c>
      <c r="N500" t="s">
        <v>19</v>
      </c>
    </row>
    <row r="501" spans="1:14">
      <c r="A501" t="s">
        <v>529</v>
      </c>
      <c r="B501">
        <v>46</v>
      </c>
      <c r="C501" t="s">
        <v>22</v>
      </c>
      <c r="D501" t="s">
        <v>30</v>
      </c>
      <c r="E501" t="s">
        <v>17</v>
      </c>
      <c r="F501">
        <v>19</v>
      </c>
      <c r="G501">
        <v>1103007</v>
      </c>
      <c r="H501" t="s">
        <v>34</v>
      </c>
      <c r="I501">
        <v>9</v>
      </c>
      <c r="J501" t="s">
        <v>19</v>
      </c>
      <c r="K501">
        <v>49</v>
      </c>
      <c r="L501">
        <v>4</v>
      </c>
      <c r="M501" t="s">
        <v>20</v>
      </c>
      <c r="N501" t="s">
        <v>20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>
      <selection activeCell="C10" sqref="C10"/>
    </sheetView>
  </sheetViews>
  <sheetFormatPr defaultRowHeight="15"/>
  <cols>
    <col min="1" max="1" width="15.5703125" customWidth="1"/>
  </cols>
  <sheetData>
    <row r="1" spans="1:16">
      <c r="A1" t="s">
        <v>530</v>
      </c>
      <c r="B1">
        <f>COUNTA(EmployeeData!A:A)-1</f>
        <v>500</v>
      </c>
    </row>
    <row r="2" spans="1:16">
      <c r="A2" t="s">
        <v>533</v>
      </c>
      <c r="B2">
        <f>COUNTIF(EmployeeData!N:N,"Yes")</f>
        <v>91</v>
      </c>
    </row>
    <row r="3" spans="1:16">
      <c r="A3" t="s">
        <v>534</v>
      </c>
      <c r="B3">
        <f>B2/B1*100</f>
        <v>18.2</v>
      </c>
    </row>
    <row r="4" spans="1:16">
      <c r="A4" s="3" t="s">
        <v>531</v>
      </c>
      <c r="B4">
        <f>AVERAGE(EmployeeData!G:G)</f>
        <v>1009915.8639999999</v>
      </c>
    </row>
    <row r="5" spans="1:16">
      <c r="A5" s="3" t="s">
        <v>532</v>
      </c>
      <c r="B5">
        <f>AVERAGE(EmployeeData!I:I)</f>
        <v>5.6180000000000003</v>
      </c>
    </row>
    <row r="15" spans="1:16">
      <c r="O15" s="1"/>
      <c r="P15" s="1"/>
    </row>
    <row r="16" spans="1:16">
      <c r="O16" s="2"/>
      <c r="P16" s="2"/>
    </row>
    <row r="17" spans="16:16">
      <c r="P17" s="2"/>
    </row>
    <row r="18" spans="16:16">
      <c r="P1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B1" sqref="B1"/>
    </sheetView>
  </sheetViews>
  <sheetFormatPr defaultRowHeight="15"/>
  <cols>
    <col min="1" max="1" width="13.140625" bestFit="1" customWidth="1"/>
    <col min="2" max="2" width="20" bestFit="1" customWidth="1"/>
  </cols>
  <sheetData>
    <row r="1" spans="1:2">
      <c r="A1" s="4" t="s">
        <v>13</v>
      </c>
      <c r="B1" t="s">
        <v>19</v>
      </c>
    </row>
    <row r="3" spans="1:2">
      <c r="A3" s="4" t="s">
        <v>535</v>
      </c>
      <c r="B3" t="s">
        <v>537</v>
      </c>
    </row>
    <row r="4" spans="1:2">
      <c r="A4" s="5" t="s">
        <v>25</v>
      </c>
      <c r="B4" s="6">
        <v>22</v>
      </c>
    </row>
    <row r="5" spans="1:2">
      <c r="A5" s="5" t="s">
        <v>30</v>
      </c>
      <c r="B5" s="6">
        <v>18</v>
      </c>
    </row>
    <row r="6" spans="1:2">
      <c r="A6" s="5" t="s">
        <v>36</v>
      </c>
      <c r="B6" s="6">
        <v>17</v>
      </c>
    </row>
    <row r="7" spans="1:2">
      <c r="A7" s="5" t="s">
        <v>27</v>
      </c>
      <c r="B7" s="6">
        <v>16</v>
      </c>
    </row>
    <row r="8" spans="1:2">
      <c r="A8" s="5" t="s">
        <v>16</v>
      </c>
      <c r="B8" s="6">
        <v>18</v>
      </c>
    </row>
    <row r="9" spans="1:2">
      <c r="A9" s="5" t="s">
        <v>536</v>
      </c>
      <c r="B9" s="6">
        <v>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20" bestFit="1" customWidth="1"/>
  </cols>
  <sheetData>
    <row r="1" spans="1:2">
      <c r="A1" s="4" t="s">
        <v>13</v>
      </c>
      <c r="B1" t="s">
        <v>19</v>
      </c>
    </row>
    <row r="3" spans="1:2">
      <c r="A3" s="4" t="s">
        <v>535</v>
      </c>
      <c r="B3" t="s">
        <v>537</v>
      </c>
    </row>
    <row r="4" spans="1:2">
      <c r="A4" s="5" t="s">
        <v>20</v>
      </c>
      <c r="B4" s="6">
        <v>11</v>
      </c>
    </row>
    <row r="5" spans="1:2">
      <c r="A5" s="5" t="s">
        <v>19</v>
      </c>
      <c r="B5" s="6">
        <v>80</v>
      </c>
    </row>
    <row r="6" spans="1:2">
      <c r="A6" s="5" t="s">
        <v>536</v>
      </c>
      <c r="B6" s="6">
        <v>91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G2" sqref="G2"/>
    </sheetView>
  </sheetViews>
  <sheetFormatPr defaultRowHeight="15"/>
  <cols>
    <col min="1" max="1" width="13.140625" bestFit="1" customWidth="1"/>
    <col min="2" max="2" width="20" bestFit="1" customWidth="1"/>
  </cols>
  <sheetData>
    <row r="1" spans="1:2">
      <c r="A1" s="4" t="s">
        <v>13</v>
      </c>
      <c r="B1" s="7" t="s">
        <v>19</v>
      </c>
    </row>
    <row r="3" spans="1:2">
      <c r="A3" s="4" t="s">
        <v>535</v>
      </c>
      <c r="B3" t="s">
        <v>537</v>
      </c>
    </row>
    <row r="4" spans="1:2">
      <c r="A4" s="5">
        <v>1</v>
      </c>
      <c r="B4" s="6">
        <v>21</v>
      </c>
    </row>
    <row r="5" spans="1:2">
      <c r="A5" s="5">
        <v>2</v>
      </c>
      <c r="B5" s="6">
        <v>22</v>
      </c>
    </row>
    <row r="6" spans="1:2">
      <c r="A6" s="5">
        <v>3</v>
      </c>
      <c r="B6" s="6">
        <v>17</v>
      </c>
    </row>
    <row r="7" spans="1:2">
      <c r="A7" s="5">
        <v>4</v>
      </c>
      <c r="B7" s="6">
        <v>17</v>
      </c>
    </row>
    <row r="8" spans="1:2">
      <c r="A8" s="5">
        <v>5</v>
      </c>
      <c r="B8" s="6">
        <v>4</v>
      </c>
    </row>
    <row r="9" spans="1:2">
      <c r="A9" s="5">
        <v>6</v>
      </c>
      <c r="B9" s="6">
        <v>4</v>
      </c>
    </row>
    <row r="10" spans="1:2">
      <c r="A10" s="5">
        <v>7</v>
      </c>
      <c r="B10" s="6">
        <v>2</v>
      </c>
    </row>
    <row r="11" spans="1:2">
      <c r="A11" s="5">
        <v>9</v>
      </c>
      <c r="B11" s="6">
        <v>1</v>
      </c>
    </row>
    <row r="12" spans="1:2">
      <c r="A12" s="5">
        <v>10</v>
      </c>
      <c r="B12" s="6">
        <v>3</v>
      </c>
    </row>
    <row r="13" spans="1:2">
      <c r="A13" s="5" t="s">
        <v>536</v>
      </c>
      <c r="B13" s="6">
        <v>91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N11" sqref="N11"/>
    </sheetView>
  </sheetViews>
  <sheetFormatPr defaultRowHeight="15"/>
  <cols>
    <col min="1" max="1" width="13.140625" bestFit="1" customWidth="1"/>
    <col min="2" max="2" width="20" bestFit="1" customWidth="1"/>
  </cols>
  <sheetData>
    <row r="1" spans="1:2">
      <c r="A1" s="4" t="s">
        <v>13</v>
      </c>
      <c r="B1" t="s">
        <v>19</v>
      </c>
    </row>
    <row r="3" spans="1:2">
      <c r="A3" s="4" t="s">
        <v>535</v>
      </c>
      <c r="B3" t="s">
        <v>537</v>
      </c>
    </row>
    <row r="4" spans="1:2">
      <c r="A4" s="5" t="s">
        <v>28</v>
      </c>
      <c r="B4" s="6">
        <v>28</v>
      </c>
    </row>
    <row r="5" spans="1:2">
      <c r="A5" s="5" t="s">
        <v>34</v>
      </c>
      <c r="B5" s="6">
        <v>38</v>
      </c>
    </row>
    <row r="6" spans="1:2">
      <c r="A6" s="5" t="s">
        <v>18</v>
      </c>
      <c r="B6" s="6">
        <v>25</v>
      </c>
    </row>
    <row r="7" spans="1:2">
      <c r="A7" s="5" t="s">
        <v>536</v>
      </c>
      <c r="B7" s="6">
        <v>91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1"/>
  <sheetViews>
    <sheetView topLeftCell="A21" workbookViewId="0">
      <selection activeCell="A39" sqref="A39:K41"/>
    </sheetView>
  </sheetViews>
  <sheetFormatPr defaultRowHeight="18.75"/>
  <cols>
    <col min="1" max="16384" width="9.140625" style="12"/>
  </cols>
  <sheetData>
    <row r="1" spans="1:14">
      <c r="A1" s="24" t="s">
        <v>557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3" spans="1:14">
      <c r="A3" s="19" t="s">
        <v>558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4" ht="18.75" customHeight="1">
      <c r="A4" s="30" t="s">
        <v>559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4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4">
      <c r="A6" s="19" t="s">
        <v>560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4">
      <c r="A7" s="28" t="s">
        <v>561</v>
      </c>
      <c r="B7" s="28"/>
      <c r="C7" s="28"/>
      <c r="D7" s="28"/>
      <c r="E7" s="28"/>
      <c r="F7" s="28"/>
      <c r="G7" s="28"/>
      <c r="H7" s="28"/>
      <c r="I7" s="28"/>
      <c r="J7" s="28"/>
      <c r="K7" s="28"/>
    </row>
    <row r="8" spans="1:14">
      <c r="A8" s="29" t="s">
        <v>578</v>
      </c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14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</row>
    <row r="10" spans="1:14">
      <c r="A10" s="28" t="s">
        <v>562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4">
      <c r="A11" s="30" t="s">
        <v>563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4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spans="1:14">
      <c r="A13" s="28" t="s">
        <v>564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spans="1:14">
      <c r="A14" s="30" t="s">
        <v>579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spans="1:14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4">
      <c r="A16" s="31" t="s">
        <v>562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spans="1:11">
      <c r="A17" s="30" t="s">
        <v>565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</row>
    <row r="18" spans="1:1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>
      <c r="A19" s="28" t="s">
        <v>566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1:11">
      <c r="A20" s="30" t="s">
        <v>580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>
      <c r="A22" s="28" t="s">
        <v>562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1:11">
      <c r="A23" s="30" t="s">
        <v>567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spans="1:1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 spans="1:11">
      <c r="A25" s="28" t="s">
        <v>568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1:11">
      <c r="A26" s="29" t="s">
        <v>581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1:1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1">
      <c r="A28" s="28" t="s">
        <v>562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</row>
    <row r="29" spans="1:11">
      <c r="A29" s="29" t="s">
        <v>569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spans="1:1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2" spans="1:11">
      <c r="A32" s="24" t="s">
        <v>570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1">
      <c r="A33" s="22" t="s">
        <v>571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 spans="1:11">
      <c r="A34" s="22" t="s">
        <v>572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 spans="1:11">
      <c r="A35" s="22" t="s">
        <v>573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</row>
    <row r="36" spans="1:11">
      <c r="A36" s="22" t="s">
        <v>574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spans="1:11">
      <c r="A37" s="22" t="s">
        <v>575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>
      <c r="A38" s="19" t="s">
        <v>576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ht="18.75" customHeight="1">
      <c r="A39" s="26" t="s">
        <v>577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1:1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1:1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</row>
  </sheetData>
  <mergeCells count="28">
    <mergeCell ref="A38:K38"/>
    <mergeCell ref="A32:K32"/>
    <mergeCell ref="A39:K41"/>
    <mergeCell ref="A29:K30"/>
    <mergeCell ref="A33:K33"/>
    <mergeCell ref="A34:K34"/>
    <mergeCell ref="A35:K35"/>
    <mergeCell ref="A36:K36"/>
    <mergeCell ref="A37:K37"/>
    <mergeCell ref="A20:K21"/>
    <mergeCell ref="A22:K22"/>
    <mergeCell ref="A23:K24"/>
    <mergeCell ref="A25:K25"/>
    <mergeCell ref="A26:K27"/>
    <mergeCell ref="A28:K28"/>
    <mergeCell ref="A11:K12"/>
    <mergeCell ref="A13:K13"/>
    <mergeCell ref="A14:K15"/>
    <mergeCell ref="A16:K16"/>
    <mergeCell ref="A17:K18"/>
    <mergeCell ref="A19:K19"/>
    <mergeCell ref="A3:K3"/>
    <mergeCell ref="A1:N1"/>
    <mergeCell ref="A6:L6"/>
    <mergeCell ref="A7:K7"/>
    <mergeCell ref="A8:K9"/>
    <mergeCell ref="A4:K5"/>
    <mergeCell ref="A10:K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32"/>
  <sheetViews>
    <sheetView tabSelected="1" zoomScale="80" zoomScaleNormal="80" workbookViewId="0">
      <selection activeCell="Y10" sqref="Y10"/>
    </sheetView>
  </sheetViews>
  <sheetFormatPr defaultRowHeight="15"/>
  <cols>
    <col min="1" max="3" width="9.140625" customWidth="1"/>
  </cols>
  <sheetData>
    <row r="1" spans="1:22" ht="26.25">
      <c r="A1" s="23" t="s">
        <v>554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s="12" customFormat="1" ht="14.25" customHeight="1">
      <c r="A2" s="8" t="s">
        <v>538</v>
      </c>
      <c r="B2" s="10"/>
      <c r="C2" s="10"/>
      <c r="D2" s="10" t="s">
        <v>539</v>
      </c>
      <c r="E2" s="10"/>
      <c r="F2" s="10"/>
      <c r="G2" s="10" t="s">
        <v>540</v>
      </c>
      <c r="H2" s="10"/>
      <c r="I2" s="10"/>
      <c r="J2" s="11" t="s">
        <v>541</v>
      </c>
      <c r="K2" s="11"/>
      <c r="L2" s="16"/>
      <c r="M2" s="35"/>
      <c r="N2" s="25"/>
      <c r="O2" s="25"/>
      <c r="P2" s="25"/>
      <c r="Q2" s="25"/>
      <c r="R2" s="25"/>
      <c r="S2" s="25"/>
      <c r="T2" s="25"/>
      <c r="U2" s="25"/>
      <c r="V2" s="25"/>
    </row>
    <row r="3" spans="1:22" s="12" customFormat="1" ht="23.25" customHeight="1">
      <c r="A3" s="14"/>
      <c r="B3" s="15"/>
      <c r="C3" s="15"/>
      <c r="D3" s="15"/>
      <c r="E3" s="15"/>
      <c r="F3" s="15"/>
      <c r="G3" s="15"/>
      <c r="H3" s="15"/>
      <c r="I3" s="15"/>
      <c r="J3" s="17"/>
      <c r="K3" s="17"/>
      <c r="L3" s="18"/>
      <c r="M3" s="35"/>
      <c r="N3" s="25"/>
      <c r="O3" s="25"/>
      <c r="P3" s="25"/>
      <c r="Q3" s="25"/>
      <c r="R3" s="25"/>
      <c r="S3" s="25"/>
      <c r="T3" s="25"/>
      <c r="U3" s="25"/>
      <c r="V3" s="25"/>
    </row>
    <row r="4" spans="1:22" ht="15" customHeight="1">
      <c r="B4" s="9" t="s">
        <v>550</v>
      </c>
      <c r="C4" s="9"/>
      <c r="D4" s="9"/>
      <c r="E4" s="9"/>
      <c r="F4" s="13"/>
      <c r="H4" s="9" t="s">
        <v>551</v>
      </c>
      <c r="I4" s="9"/>
      <c r="J4" s="9"/>
      <c r="K4" s="13"/>
      <c r="M4" s="24" t="s">
        <v>552</v>
      </c>
      <c r="N4" s="24"/>
      <c r="O4" s="24"/>
      <c r="P4" s="24"/>
      <c r="R4" s="24" t="s">
        <v>553</v>
      </c>
      <c r="S4" s="24"/>
      <c r="T4" s="24"/>
      <c r="U4" s="24"/>
    </row>
    <row r="5" spans="1:22" ht="15" customHeight="1">
      <c r="B5" s="33"/>
      <c r="C5" s="33"/>
      <c r="D5" s="33"/>
      <c r="E5" s="33"/>
      <c r="F5" s="32"/>
      <c r="H5" s="33"/>
      <c r="I5" s="33"/>
      <c r="J5" s="33"/>
      <c r="K5" s="32"/>
      <c r="L5" s="32"/>
      <c r="M5" s="24"/>
      <c r="N5" s="24"/>
      <c r="O5" s="24"/>
      <c r="P5" s="24"/>
      <c r="Q5" s="32"/>
      <c r="R5" s="24"/>
      <c r="S5" s="24"/>
      <c r="T5" s="24"/>
      <c r="U5" s="24"/>
    </row>
    <row r="23" spans="1:20" s="21" customFormat="1" ht="18.75">
      <c r="A23" s="24" t="s">
        <v>542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M23" s="24" t="s">
        <v>545</v>
      </c>
      <c r="N23" s="24"/>
      <c r="O23" s="24"/>
      <c r="P23" s="24"/>
      <c r="Q23" s="24"/>
      <c r="R23" s="24"/>
      <c r="S23" s="24"/>
      <c r="T23" s="27"/>
    </row>
    <row r="24" spans="1:20" s="21" customFormat="1" ht="18.75">
      <c r="A24" s="22" t="s">
        <v>555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M24" s="20" t="s">
        <v>546</v>
      </c>
      <c r="N24" s="20"/>
      <c r="O24" s="20"/>
      <c r="P24" s="20"/>
      <c r="Q24" s="20"/>
      <c r="R24" s="20"/>
      <c r="S24" s="20"/>
      <c r="T24" s="34"/>
    </row>
    <row r="25" spans="1:20" s="21" customFormat="1" ht="18.75">
      <c r="A25" s="22" t="s">
        <v>556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M25" s="20" t="s">
        <v>547</v>
      </c>
      <c r="N25" s="20"/>
      <c r="O25" s="20"/>
      <c r="P25" s="20"/>
      <c r="Q25" s="20"/>
      <c r="R25" s="20"/>
      <c r="S25" s="20"/>
      <c r="T25" s="34"/>
    </row>
    <row r="26" spans="1:20" s="21" customFormat="1" ht="18.75">
      <c r="A26" s="22" t="s">
        <v>543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M26" s="20" t="s">
        <v>548</v>
      </c>
      <c r="N26" s="20"/>
      <c r="O26" s="20"/>
      <c r="P26" s="20"/>
      <c r="Q26" s="20"/>
      <c r="R26" s="20"/>
      <c r="S26" s="20"/>
      <c r="T26" s="34"/>
    </row>
    <row r="27" spans="1:20" s="21" customFormat="1" ht="18.75">
      <c r="A27" s="22" t="s">
        <v>544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M27" s="20" t="s">
        <v>549</v>
      </c>
      <c r="N27" s="20"/>
      <c r="O27" s="20"/>
      <c r="P27" s="20"/>
      <c r="Q27" s="20"/>
      <c r="R27" s="20"/>
      <c r="S27" s="20"/>
      <c r="T27" s="34"/>
    </row>
    <row r="28" spans="1:20" s="12" customFormat="1" ht="18.75">
      <c r="M28" s="34"/>
      <c r="N28" s="34"/>
      <c r="O28" s="34"/>
      <c r="P28" s="34"/>
      <c r="Q28" s="34"/>
      <c r="R28" s="34"/>
      <c r="S28" s="34"/>
    </row>
    <row r="29" spans="1:20" s="12" customFormat="1" ht="18.75">
      <c r="M29" s="34"/>
      <c r="N29" s="34"/>
      <c r="O29" s="34"/>
      <c r="P29" s="34"/>
      <c r="Q29" s="34"/>
      <c r="R29" s="34"/>
      <c r="S29" s="34"/>
    </row>
    <row r="30" spans="1:20" s="12" customFormat="1" ht="18.75">
      <c r="M30" s="34"/>
      <c r="N30" s="34"/>
      <c r="O30" s="34"/>
      <c r="P30" s="34"/>
      <c r="Q30" s="34"/>
      <c r="R30" s="34"/>
      <c r="S30" s="34"/>
    </row>
    <row r="31" spans="1:20" s="12" customFormat="1" ht="18.75">
      <c r="M31" s="34"/>
      <c r="N31" s="34"/>
      <c r="O31" s="34"/>
      <c r="P31" s="34"/>
      <c r="Q31" s="34"/>
      <c r="R31" s="34"/>
      <c r="S31" s="34"/>
    </row>
    <row r="32" spans="1:20" s="12" customFormat="1" ht="18.75"/>
  </sheetData>
  <mergeCells count="20">
    <mergeCell ref="M24:S24"/>
    <mergeCell ref="M25:S25"/>
    <mergeCell ref="M26:S26"/>
    <mergeCell ref="M27:S27"/>
    <mergeCell ref="A23:K23"/>
    <mergeCell ref="A24:K24"/>
    <mergeCell ref="A25:K25"/>
    <mergeCell ref="A26:K26"/>
    <mergeCell ref="A27:K27"/>
    <mergeCell ref="H4:J5"/>
    <mergeCell ref="R4:U5"/>
    <mergeCell ref="M4:P5"/>
    <mergeCell ref="A1:V1"/>
    <mergeCell ref="M2:V3"/>
    <mergeCell ref="J2:L3"/>
    <mergeCell ref="A2:C3"/>
    <mergeCell ref="D2:F3"/>
    <mergeCell ref="G2:I3"/>
    <mergeCell ref="M23:S23"/>
    <mergeCell ref="B4:E5"/>
  </mergeCells>
  <pageMargins left="0.7" right="0.7" top="0.75" bottom="0.75" header="0.3" footer="0.3"/>
  <pageSetup paperSize="9" scale="80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EmployeeData</vt:lpstr>
      <vt:lpstr>Analysis</vt:lpstr>
      <vt:lpstr>Department Analysis</vt:lpstr>
      <vt:lpstr>Overtime Analysis</vt:lpstr>
      <vt:lpstr>Satisfaction Analysis</vt:lpstr>
      <vt:lpstr>Workmode Analysis</vt:lpstr>
      <vt:lpstr>Insights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Sandesh</cp:lastModifiedBy>
  <dcterms:created xsi:type="dcterms:W3CDTF">2026-06-11T06:30:44Z</dcterms:created>
  <dcterms:modified xsi:type="dcterms:W3CDTF">2026-06-11T12:16:43Z</dcterms:modified>
</cp:coreProperties>
</file>